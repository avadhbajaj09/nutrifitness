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talogue" sheetId="2" state="visible" r:id="rId4"/>
    <sheet name="Pilot rewrites" sheetId="3" state="visible" r:id="rId5"/>
  </sheets>
  <definedNames>
    <definedName function="false" hidden="true" localSheetId="1" name="_xlnm._FilterDatabase" vbProcedure="false">Catalogue!$A$1:$O$106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<sst xmlns="http://schemas.openxmlformats.org/spreadsheetml/2006/main" count="1108" uniqueCount="543">
  <si>
    <t xml:space="preserve">nutrifitness.ch – Product catalogue audit (WooCommerce export of 4 Oct 2026)</t>
  </si>
  <si>
    <t xml:space="preserve">Source: uploaded CSV. 243 rows = 105 parent products + 138 variations. Counts below are live formulas over the "Catalogue" sheet.</t>
  </si>
  <si>
    <t xml:space="preserve">Check</t>
  </si>
  <si>
    <t xml:space="preserve">Products</t>
  </si>
  <si>
    <t xml:space="preserve">% of 105</t>
  </si>
  <si>
    <t xml:space="preserve">Why it matters</t>
  </si>
  <si>
    <t xml:space="preserve">Total parent products</t>
  </si>
  <si>
    <t xml:space="preserve">Baseline</t>
  </si>
  <si>
    <t xml:space="preserve">ALL CAPS names</t>
  </si>
  <si>
    <t xml:space="preserve">Hard to read, looks unpolished in results; also mismatches how people search</t>
  </si>
  <si>
    <t xml:space="preserve">Brand missing from product name (before rewrite)</t>
  </si>
  <si>
    <t xml:space="preserve">Hardcoded from the original CSV: only 15 of 101 branded products had the brand in the name, so 86 lacked it.</t>
  </si>
  <si>
    <t xml:space="preserve">Brand not set in WooCommerce</t>
  </si>
  <si>
    <t xml:space="preserve">Missing brand hurts Shopping eligibility and brand-page SEO</t>
  </si>
  <si>
    <t xml:space="preserve">Unpublished products</t>
  </si>
  <si>
    <t xml:space="preserve">Includes pre-workout lines: check whether intentional</t>
  </si>
  <si>
    <t xml:space="preserve">Empty short description</t>
  </si>
  <si>
    <t xml:space="preserve">Short description sits next to the buy button</t>
  </si>
  <si>
    <t xml:space="preserve">Empty long description</t>
  </si>
  <si>
    <t xml:space="preserve">No content = nothing to rank</t>
  </si>
  <si>
    <t xml:space="preserve">H1 inside long description</t>
  </si>
  <si>
    <t xml:space="preserve">Second H1 on the page confuses structure</t>
  </si>
  <si>
    <t xml:space="preserve">Instagram link inside body text</t>
  </si>
  <si>
    <t xml:space="preserve">Sends visitors away from the product page; use internal links instead</t>
  </si>
  <si>
    <t xml:space="preserve">Pasted HTML junk (editor classes / data attributes)</t>
  </si>
  <si>
    <t xml:space="preserve">Bloats pages, can break styling and structured text</t>
  </si>
  <si>
    <t xml:space="preserve">Descriptions with health-claim words</t>
  </si>
  <si>
    <t xml:space="preserve">Swiss food rules limit health claims: client must review</t>
  </si>
  <si>
    <t xml:space="preserve">Claim-style product names</t>
  </si>
  <si>
    <t xml:space="preserve">Names like "Diurétique" or "Cholesterol Support" are claims</t>
  </si>
  <si>
    <t xml:space="preserve">Needs category correction</t>
  </si>
  <si>
    <t xml:space="preserve">Wrong categories dilute topical relevance</t>
  </si>
  <si>
    <t xml:space="preserve">Variable products with GTIN gaps</t>
  </si>
  <si>
    <t xml:space="preserve">GTIN is strongly recommended for Merchant Center</t>
  </si>
  <si>
    <t xml:space="preserve">Simple products without GTIN</t>
  </si>
  <si>
    <t xml:space="preserve">Same</t>
  </si>
  <si>
    <t xml:space="preserve">Other findings</t>
  </si>
  <si>
    <t xml:space="preserve">• 51 of 105 products sit in "NOS BEST-SELLERS" – the label loses meaning and dilutes category pages. Keep it for ~8–12 real best sellers.</t>
  </si>
  <si>
    <t xml:space="preserve">• Duplicate category trees: "PERTE DE POIDS" and "COMPLÉMENTS &gt; PERTE DE POIDS &amp; MÉTABOLISME" (and the same for PROTÉINES) – merge into one hierarchy before the Next.js migration.</t>
  </si>
  <si>
    <t xml:space="preserve">• Several products carry 4–5 categories; choose one primary category per product for breadcrumbs and canonical structure.</t>
  </si>
  <si>
    <t xml:space="preserve">• Draft names follow: Product type + variant + size – Brand. Names are drafts: confirm unclear products (Enerdyn, Beebad, UFO Blast, Calibration, Recharge, Stage, HBVC) against the supplier label.</t>
  </si>
  <si>
    <t xml:space="preserve">• Meta titles are drafts; rows over 60 characters are highlighted red.</t>
  </si>
  <si>
    <t xml:space="preserve">• Nothing here uses facts that are not in the current export. Every unknown is marked [À VÉRIFIER].</t>
  </si>
  <si>
    <t xml:space="preserve">ID</t>
  </si>
  <si>
    <t xml:space="preserve">Type</t>
  </si>
  <si>
    <t xml:space="preserve">Current name</t>
  </si>
  <si>
    <t xml:space="preserve">NEW name (draft)</t>
  </si>
  <si>
    <t xml:space="preserve">New name length</t>
  </si>
  <si>
    <t xml:space="preserve">Meta title (draft)</t>
  </si>
  <si>
    <t xml:space="preserve">Meta length</t>
  </si>
  <si>
    <t xml:space="preserve">Brand</t>
  </si>
  <si>
    <t xml:space="preserve">Current categories</t>
  </si>
  <si>
    <t xml:space="preserve">Category fix</t>
  </si>
  <si>
    <t xml:space="preserve">Claim risk in name</t>
  </si>
  <si>
    <t xml:space="preserve">Claim words found in text</t>
  </si>
  <si>
    <t xml:space="preserve">GTIN status</t>
  </si>
  <si>
    <t xml:space="preserve">Published</t>
  </si>
  <si>
    <t xml:space="preserve">Issues found</t>
  </si>
  <si>
    <t xml:space="preserve">simple</t>
  </si>
  <si>
    <t xml:space="preserve">PW CREAPURE PREMIUM 250G</t>
  </si>
  <si>
    <t xml:space="preserve">Créatine Creapure® Premium 250 g – Powerfood</t>
  </si>
  <si>
    <t xml:space="preserve">Créatine Creapure® Premium 250 g – Powerfood | Nutrifitness</t>
  </si>
  <si>
    <t xml:space="preserve">Powerfood</t>
  </si>
  <si>
    <t xml:space="preserve">APRES SPORT, CRÉATINE</t>
  </si>
  <si>
    <t xml:space="preserve">alzheimer, parkinson</t>
  </si>
  <si>
    <t xml:space="preserve">Missing</t>
  </si>
  <si>
    <t xml:space="preserve">Yes</t>
  </si>
  <si>
    <t xml:space="preserve">ALL CAPS name</t>
  </si>
  <si>
    <t xml:space="preserve">GALLON NF 2.2L</t>
  </si>
  <si>
    <t xml:space="preserve">Gourde Gallon 2,2 L – Nutrifit</t>
  </si>
  <si>
    <t xml:space="preserve">Gourde Gallon 2,2 L – Nutrifit | Nutrifitness</t>
  </si>
  <si>
    <t xml:space="preserve">Nutrifit</t>
  </si>
  <si>
    <t xml:space="preserve">ACCESSOIRES, SHAKERS</t>
  </si>
  <si>
    <t xml:space="preserve">VITAMINE C LIPOSOMALE 60 CAPS</t>
  </si>
  <si>
    <t xml:space="preserve">Vitamine C liposomale 60 gélules – Pronutrition</t>
  </si>
  <si>
    <t xml:space="preserve">Pronutrition</t>
  </si>
  <si>
    <t xml:space="preserve">VITAMINES - MINÉRAUX</t>
  </si>
  <si>
    <t xml:space="preserve">immunitaire</t>
  </si>
  <si>
    <t xml:space="preserve">OK</t>
  </si>
  <si>
    <t xml:space="preserve">Instagram link in body; ALL CAPS name</t>
  </si>
  <si>
    <t xml:space="preserve">PICOLINATE DE CHROME 100 CAPS</t>
  </si>
  <si>
    <t xml:space="preserve">Picolinate de chrome 100 gélules – Pronutrition</t>
  </si>
  <si>
    <t xml:space="preserve">PERTE DE POIDS, COMPLÉMENTS &gt; PERTE DE POIDS &amp; MÉTABOLISME</t>
  </si>
  <si>
    <t xml:space="preserve">cholestérol, diabète, perte de poids</t>
  </si>
  <si>
    <t xml:space="preserve">CAFFEINE 90 CAPS 100MG</t>
  </si>
  <si>
    <t xml:space="preserve">Caféine 100 mg – 90 gélules – Bigman</t>
  </si>
  <si>
    <t xml:space="preserve">Caféine 100 mg – 90 gélules – Bigman | Nutrifitness</t>
  </si>
  <si>
    <t xml:space="preserve">Bigman</t>
  </si>
  <si>
    <t xml:space="preserve">AVANT SPORT, NOS BEST-SELLERS</t>
  </si>
  <si>
    <t xml:space="preserve">soigne</t>
  </si>
  <si>
    <t xml:space="preserve">ASHWAGANDHA 60 CAPS</t>
  </si>
  <si>
    <t xml:space="preserve">Ashwagandha 60 gélules – Pronutrition</t>
  </si>
  <si>
    <t xml:space="preserve">Ashwagandha 60 gélules – Pronutrition | Nutrifitness</t>
  </si>
  <si>
    <t xml:space="preserve">SOMMEIL, VITAMINES - MINÉRAUX</t>
  </si>
  <si>
    <t xml:space="preserve">hormon</t>
  </si>
  <si>
    <t xml:space="preserve">BLANC D'OEUF LIQUIDE PASTEURISÉ 1L</t>
  </si>
  <si>
    <t xml:space="preserve">Blanc d'œuf liquide pasteurisé 1 L – Eurovo</t>
  </si>
  <si>
    <t xml:space="preserve">Blanc d'œuf liquide pasteurisé 1 L – Eurovo | Nutrifitness</t>
  </si>
  <si>
    <t xml:space="preserve">Eurovo</t>
  </si>
  <si>
    <t xml:space="preserve">SHAKERS</t>
  </si>
  <si>
    <t xml:space="preserve">Listed under SHAKERS – move to a food/ingredients category</t>
  </si>
  <si>
    <t xml:space="preserve">variable</t>
  </si>
  <si>
    <t xml:space="preserve">SAVIOR RECUPERATION 950G</t>
  </si>
  <si>
    <t xml:space="preserve">Savior Récupération 950 g – Marvelous</t>
  </si>
  <si>
    <t xml:space="preserve">Savior Récupération 950 g – Marvelous | Nutrifitness</t>
  </si>
  <si>
    <t xml:space="preserve">Marvelous</t>
  </si>
  <si>
    <t xml:space="preserve">APRES SPORT, CRÉATINE, PENDANT SPORT</t>
  </si>
  <si>
    <t xml:space="preserve">OK (all variations)</t>
  </si>
  <si>
    <t xml:space="preserve">CREATINE EN POUDRE 300G</t>
  </si>
  <si>
    <t xml:space="preserve">Créatine 200 mesh en poudre 300 g – Marvelous</t>
  </si>
  <si>
    <t xml:space="preserve">Créatine 200 mesh en poudre 300 g – Marvelous | Nutrifitness</t>
  </si>
  <si>
    <t xml:space="preserve">APRES SPORT, CRÉATINE, NOS BEST-SELLERS</t>
  </si>
  <si>
    <t xml:space="preserve">alzheimer, jusqu'à 10, parkinson</t>
  </si>
  <si>
    <t xml:space="preserve">NF SHAKER 600ML</t>
  </si>
  <si>
    <t xml:space="preserve">Shaker NF 600 ml – Nutrifit</t>
  </si>
  <si>
    <t xml:space="preserve">Shaker NF 600 ml – Nutrifit | Nutrifitness</t>
  </si>
  <si>
    <t xml:space="preserve">garantie</t>
  </si>
  <si>
    <t xml:space="preserve">No variations found</t>
  </si>
  <si>
    <t xml:space="preserve">ZINC BISGLICINATE 90 CAP</t>
  </si>
  <si>
    <t xml:space="preserve">Zinc bisglycinate 90 gélules – Applied Nutrition</t>
  </si>
  <si>
    <t xml:space="preserve">Applied Nutrition</t>
  </si>
  <si>
    <t xml:space="preserve">NOS BEST-SELLERS, SOMMEIL, VITAMINES - MINÉRAUX</t>
  </si>
  <si>
    <t xml:space="preserve">hormon, immunitaire, testostérone</t>
  </si>
  <si>
    <t xml:space="preserve">H1 inside description; Instagram link in body; Pasted HTML junk; ALL CAPS name</t>
  </si>
  <si>
    <t xml:space="preserve">NF GOURDE 600ML</t>
  </si>
  <si>
    <t xml:space="preserve">Gourde NF 600 ml – Nutrifit</t>
  </si>
  <si>
    <t xml:space="preserve">Gourde NF 600 ml – Nutrifit | Nutrifitness</t>
  </si>
  <si>
    <t xml:space="preserve">ACCESSOIRES</t>
  </si>
  <si>
    <t xml:space="preserve">PROTÉINE VEGAN RIZ BRUN BIO 500G</t>
  </si>
  <si>
    <t xml:space="preserve">Protéine végétale de riz brun bio 500 g – Bioyos</t>
  </si>
  <si>
    <t xml:space="preserve">Bioyos</t>
  </si>
  <si>
    <t xml:space="preserve">NOS BEST-SELLERS, PROTÉINES, COMPLÉMENTS &gt; PROTÉINES &amp; GAINERS</t>
  </si>
  <si>
    <t xml:space="preserve">maigr</t>
  </si>
  <si>
    <t xml:space="preserve">BIG LEAN MASS GAINER</t>
  </si>
  <si>
    <t xml:space="preserve">Big Lean Mass Gainer – Marvelous</t>
  </si>
  <si>
    <t xml:space="preserve">Big Lean Mass Gainer – Marvelous | Nutrifitness</t>
  </si>
  <si>
    <t xml:space="preserve">PRENDRE DU MUSCLE, PROTÉINES</t>
  </si>
  <si>
    <t xml:space="preserve">Instagram link in body; Pasted HTML junk; ALL CAPS name</t>
  </si>
  <si>
    <t xml:space="preserve">HYPE AMINO 270G</t>
  </si>
  <si>
    <t xml:space="preserve">Hype Amino 270 g – Marvelous</t>
  </si>
  <si>
    <t xml:space="preserve">Hype Amino 270 g – Marvelous | Nutrifitness</t>
  </si>
  <si>
    <t xml:space="preserve">BCAA, PENDANT SPORT</t>
  </si>
  <si>
    <t xml:space="preserve">POUDRE DE COLLAGENE MIX GOÛT MANGUE 300G</t>
  </si>
  <si>
    <t xml:space="preserve">Collagène en poudre goût mangue 300 g – Marvelous</t>
  </si>
  <si>
    <t xml:space="preserve">NOS BEST-SELLERS, PEAU - ARTICULATIONS</t>
  </si>
  <si>
    <t xml:space="preserve">VITAMINE C 1000MG 90 CAPS</t>
  </si>
  <si>
    <t xml:space="preserve">Vitamine C 1000 mg – 90 gélules – Marvelous</t>
  </si>
  <si>
    <t xml:space="preserve">Vitamine C 1000 mg – 90 gélules – Marvelous | Nutrifitness</t>
  </si>
  <si>
    <t xml:space="preserve">GLICEROL 300G</t>
  </si>
  <si>
    <t xml:space="preserve">Glycérol en poudre 300 g – Marvelous</t>
  </si>
  <si>
    <t xml:space="preserve">Glycérol en poudre 300 g – Marvelous | Nutrifitness</t>
  </si>
  <si>
    <t xml:space="preserve">PENDANT SPORT</t>
  </si>
  <si>
    <t xml:space="preserve">BETA-ALANINE EN POUDRE 250G</t>
  </si>
  <si>
    <t xml:space="preserve">Bêta-alanine en poudre 250 g – Marvelous</t>
  </si>
  <si>
    <t xml:space="preserve">Bêta-alanine en poudre 250 g – Marvelous | Nutrifitness</t>
  </si>
  <si>
    <t xml:space="preserve">AVANT SPORT</t>
  </si>
  <si>
    <t xml:space="preserve">No</t>
  </si>
  <si>
    <t xml:space="preserve">Unpublished; Instagram link in body; ALL CAPS name</t>
  </si>
  <si>
    <t xml:space="preserve">OMEGA 3 - 120 SOFTGELS</t>
  </si>
  <si>
    <t xml:space="preserve">Oméga 3 – 120 softgels – Marvelous</t>
  </si>
  <si>
    <t xml:space="preserve">Oméga 3 – 120 softgels – Marvelous | Nutrifitness</t>
  </si>
  <si>
    <t xml:space="preserve">cholestérol, soigne</t>
  </si>
  <si>
    <t xml:space="preserve">ABE ULTIMATE PRE WORKOUT 315G</t>
  </si>
  <si>
    <t xml:space="preserve">ABE Ultimate Pre-Workout 315 g – Applied Nutrition</t>
  </si>
  <si>
    <t xml:space="preserve">garantie, soigne</t>
  </si>
  <si>
    <t xml:space="preserve">Unpublished; H1 inside description; Instagram link in body; Pasted HTML junk; ALL CAPS name</t>
  </si>
  <si>
    <t xml:space="preserve">ISO WHEY ZERO 907G</t>
  </si>
  <si>
    <t xml:space="preserve">Iso Whey Zero 907 g – Bigman</t>
  </si>
  <si>
    <t xml:space="preserve">Iso Whey Zero 907 g – Bigman | Nutrifitness</t>
  </si>
  <si>
    <t xml:space="preserve">L-ACETIL CARNITINE 60 CAPS</t>
  </si>
  <si>
    <t xml:space="preserve">L-acétyl-carnitine 60 gélules – Pronutrition</t>
  </si>
  <si>
    <t xml:space="preserve">L-acétyl-carnitine 60 gélules – Pronutrition | Nutrifitness</t>
  </si>
  <si>
    <t xml:space="preserve">AVANT SPORT, NOS BEST-SELLERS, PERTE DE POIDS, COMPLÉMENTS &gt; PERTE DE POIDS &amp; MÉTABOLISME</t>
  </si>
  <si>
    <t xml:space="preserve">brûle</t>
  </si>
  <si>
    <t xml:space="preserve">FARINE DE RIZ 1.5KG</t>
  </si>
  <si>
    <t xml:space="preserve">Farine de riz 1,5 kg – Bigman</t>
  </si>
  <si>
    <t xml:space="preserve">Farine de riz 1,5 kg – Bigman | Nutrifitness</t>
  </si>
  <si>
    <t xml:space="preserve">GLUCIDES</t>
  </si>
  <si>
    <t xml:space="preserve">CRÈME À TARTINER 350G</t>
  </si>
  <si>
    <t xml:space="preserve">Crème à tartiner 350 g – Pronutrition</t>
  </si>
  <si>
    <t xml:space="preserve">Crème à tartiner 350 g – Pronutrition | Nutrifitness</t>
  </si>
  <si>
    <t xml:space="preserve">NOS BEST-SELLERS, SNACKS</t>
  </si>
  <si>
    <t xml:space="preserve">GLUTATHION LIPOSOMALE 30 CAPS</t>
  </si>
  <si>
    <t xml:space="preserve">Glutathion liposomal 30 gélules – Pronutrition</t>
  </si>
  <si>
    <t xml:space="preserve">ANTIOXYDANTS, VITAMINES - MINÉRAUX</t>
  </si>
  <si>
    <t xml:space="preserve">détox, immunitaire</t>
  </si>
  <si>
    <t xml:space="preserve">FARINE DE PATATE DOUCE</t>
  </si>
  <si>
    <t xml:space="preserve">Farine de patate douce – Ingredients</t>
  </si>
  <si>
    <t xml:space="preserve">Farine de patate douce – Ingredients | Nutrifitness</t>
  </si>
  <si>
    <t xml:space="preserve">Ingredients</t>
  </si>
  <si>
    <t xml:space="preserve">GLUCIDES, SHAKERS</t>
  </si>
  <si>
    <t xml:space="preserve">Listed under SHAKERS – move to GLUCIDES only</t>
  </si>
  <si>
    <t xml:space="preserve">ZMA 90 CAPS</t>
  </si>
  <si>
    <t xml:space="preserve">ZMA 90 gélules – Marvelous</t>
  </si>
  <si>
    <t xml:space="preserve">ZMA 90 gélules – Marvelous | Nutrifitness</t>
  </si>
  <si>
    <t xml:space="preserve">ÉNERGIE - RÉCUPÉRATION, SOMMEIL, VITAMINES - MINÉRAUX</t>
  </si>
  <si>
    <t xml:space="preserve">HYDRA - ELECTROLYTES 210G</t>
  </si>
  <si>
    <t xml:space="preserve">Hydra Électrolytes 210 g – Per4m</t>
  </si>
  <si>
    <t xml:space="preserve">Hydra Électrolytes 210 g – Per4m | Nutrifitness</t>
  </si>
  <si>
    <t xml:space="preserve">Per4m</t>
  </si>
  <si>
    <t xml:space="preserve">APRES SPORT, PENDANT SPORT</t>
  </si>
  <si>
    <t xml:space="preserve">MAGNÉSIUM BISGLYCINATE 180G LEMON</t>
  </si>
  <si>
    <t xml:space="preserve">Magnésium bisglycinate citron 180 g – Pronutrition</t>
  </si>
  <si>
    <t xml:space="preserve">ÉNERGIE - RÉCUPÉRATION, NOS BEST-SELLERS, SOMMEIL, VITAMINES - MINÉRAUX</t>
  </si>
  <si>
    <t xml:space="preserve">anxiété, tension</t>
  </si>
  <si>
    <t xml:space="preserve">CALCIUM 120 TABS</t>
  </si>
  <si>
    <t xml:space="preserve">Calcium 120 comprimés – Pronutrition</t>
  </si>
  <si>
    <t xml:space="preserve">Calcium 120 comprimés – Pronutrition | Nutrifitness</t>
  </si>
  <si>
    <t xml:space="preserve">GLUTAMINE BIGMAN KYOWA 300G</t>
  </si>
  <si>
    <t xml:space="preserve">Glutamine Kyowa 300 g – Bigman</t>
  </si>
  <si>
    <t xml:space="preserve">Glutamine Kyowa 300 g – Bigman | Nutrifitness</t>
  </si>
  <si>
    <t xml:space="preserve">APRES SPORT, DIGESTION</t>
  </si>
  <si>
    <t xml:space="preserve">CREAPURE BIGMAN 300G</t>
  </si>
  <si>
    <t xml:space="preserve">Créatine Creapure® 300 g – Bigman</t>
  </si>
  <si>
    <t xml:space="preserve">Créatine Creapure® 300 g – Bigman | Nutrifitness</t>
  </si>
  <si>
    <t xml:space="preserve">20 SACHETS ENERDYN ORANGE</t>
  </si>
  <si>
    <t xml:space="preserve">Enerdyn Orange – 20 sachets – Pronutrition</t>
  </si>
  <si>
    <t xml:space="preserve">Enerdyn Orange – 20 sachets – Pronutrition | Nutrifitness</t>
  </si>
  <si>
    <t xml:space="preserve">Listed under CRÉATINE – confirm real product type</t>
  </si>
  <si>
    <t xml:space="preserve">FURIUX GAINER 3KG</t>
  </si>
  <si>
    <t xml:space="preserve">Furiux Gainer 3 kg – Bigman</t>
  </si>
  <si>
    <t xml:space="preserve">Furiux Gainer 3 kg – Bigman | Nutrifitness</t>
  </si>
  <si>
    <t xml:space="preserve">PRENDRE DU MUSCLE, COMPLÉMENTS &gt; PROTÉINES &amp; GAINERS, SHAKERS</t>
  </si>
  <si>
    <t xml:space="preserve">Listed under SHAKERS – move to PRENDRE DU MUSCLE / GAINERS only</t>
  </si>
  <si>
    <t xml:space="preserve">AUKAN PRE WORKOUT 300G</t>
  </si>
  <si>
    <t xml:space="preserve">Aukan Pre-Workout 300 g – Bigman</t>
  </si>
  <si>
    <t xml:space="preserve">Aukan Pre-Workout 300 g – Bigman | Nutrifitness</t>
  </si>
  <si>
    <t xml:space="preserve">BM EAA 300G</t>
  </si>
  <si>
    <t xml:space="preserve">BM EAA 300 g – Bigman</t>
  </si>
  <si>
    <t xml:space="preserve">BM EAA 300 g – Bigman | Nutrifitness</t>
  </si>
  <si>
    <t xml:space="preserve">BCAA, NOS BEST-SELLERS, PENDANT SPORT</t>
  </si>
  <si>
    <t xml:space="preserve">ULTIMATE WHEY BIGMAN 2KG</t>
  </si>
  <si>
    <t xml:space="preserve">Ultimate Whey 2 kg – Bigman</t>
  </si>
  <si>
    <t xml:space="preserve">Ultimate Whey 2 kg – Bigman | Nutrifitness</t>
  </si>
  <si>
    <t xml:space="preserve">rétention d</t>
  </si>
  <si>
    <t xml:space="preserve">ISO BULK WHEY BIOLOGIQUE</t>
  </si>
  <si>
    <t xml:space="preserve">Iso Bulk Whey biologique – Marvelous</t>
  </si>
  <si>
    <t xml:space="preserve">Iso Bulk Whey biologique – Marvelous | Nutrifitness</t>
  </si>
  <si>
    <t xml:space="preserve">2 of 5 variations missing</t>
  </si>
  <si>
    <t xml:space="preserve">BEURRE DE CACAHUETE 1KG</t>
  </si>
  <si>
    <t xml:space="preserve">Beurre de cacahuète 1 kg – Bodyattack</t>
  </si>
  <si>
    <t xml:space="preserve">Beurre de cacahuète 1 kg – Bodyattack | Nutrifitness</t>
  </si>
  <si>
    <t xml:space="preserve">Bodyattack</t>
  </si>
  <si>
    <t xml:space="preserve">GHOST WHEY 918G</t>
  </si>
  <si>
    <t xml:space="preserve">Ghost Whey 918 g</t>
  </si>
  <si>
    <t xml:space="preserve">Ghost Whey 918 g | Nutrifitness</t>
  </si>
  <si>
    <t xml:space="preserve">Ghost</t>
  </si>
  <si>
    <t xml:space="preserve">ON WHEY GOLD PROTÉINE 768G</t>
  </si>
  <si>
    <t xml:space="preserve">Whey Gold Standard 768 g – Optimum Nutrition</t>
  </si>
  <si>
    <t xml:space="preserve">Whey Gold Standard 768 g – Optimum Nutrition | Nutrifitness</t>
  </si>
  <si>
    <t xml:space="preserve">Optimum Nutrition</t>
  </si>
  <si>
    <t xml:space="preserve">GHOST PRE-WORKOUT 645G</t>
  </si>
  <si>
    <t xml:space="preserve">Ghost Pre-Workout 645 g</t>
  </si>
  <si>
    <t xml:space="preserve">Ghost Pre-Workout 645 g | Nutrifitness</t>
  </si>
  <si>
    <t xml:space="preserve">PEPTAN COLLAGEN LEMON 300G</t>
  </si>
  <si>
    <t xml:space="preserve">Peptan Collagène citron 300 g – Bigman</t>
  </si>
  <si>
    <t xml:space="preserve">Peptan Collagène citron 300 g – Bigman | Nutrifitness</t>
  </si>
  <si>
    <t xml:space="preserve">EL TORO 100% CLEAR BEEF PROTÉINE 1.8KG</t>
  </si>
  <si>
    <t xml:space="preserve">El Toro 100 % Clear Beef Protéine 1,8 kg – Marvelous</t>
  </si>
  <si>
    <t xml:space="preserve">1 of 4 variations missing</t>
  </si>
  <si>
    <t xml:space="preserve">BEEBAD 250ML</t>
  </si>
  <si>
    <t xml:space="preserve">Beebad 250 ml</t>
  </si>
  <si>
    <t xml:space="preserve">Beebad 250 ml | Nutrifitness</t>
  </si>
  <si>
    <t xml:space="preserve">Beebad</t>
  </si>
  <si>
    <t xml:space="preserve">NOS BEST-SELLERS, SHAKERS, SNACKS</t>
  </si>
  <si>
    <t xml:space="preserve">Listed under SHAKERS – confirm real product type</t>
  </si>
  <si>
    <t xml:space="preserve">Empty short description; H1 inside description; Instagram link in body; ALL CAPS name</t>
  </si>
  <si>
    <t xml:space="preserve">CORNETTO CROISSANT KETO 50G</t>
  </si>
  <si>
    <t xml:space="preserve">Cornetto croissant keto 50 g – Pronutrition</t>
  </si>
  <si>
    <t xml:space="preserve">Cornetto croissant keto 50 g – Pronutrition | Nutrifitness</t>
  </si>
  <si>
    <t xml:space="preserve">H1 inside description; Instagram link in body; ALL CAPS name</t>
  </si>
  <si>
    <t xml:space="preserve">ALIVE SYSTEME IMMUNITAIRE 120 CAPS</t>
  </si>
  <si>
    <t xml:space="preserve">Alive Système immunitaire 120 gélules – Marvelous</t>
  </si>
  <si>
    <t xml:space="preserve">cholestérol, hormon, immunitaire, tension</t>
  </si>
  <si>
    <t xml:space="preserve">H1 inside description; ALL CAPS name</t>
  </si>
  <si>
    <t xml:space="preserve">IGNITE BURN 210g ORANGE MANGUE</t>
  </si>
  <si>
    <t xml:space="preserve">Ignite Burn Orange Mangue 210 g</t>
  </si>
  <si>
    <t xml:space="preserve">Ignite Burn Orange Mangue 210 g | Nutrifitness</t>
  </si>
  <si>
    <t xml:space="preserve">— missing —</t>
  </si>
  <si>
    <t xml:space="preserve">"Burn" in name</t>
  </si>
  <si>
    <t xml:space="preserve">No brand set; H1 inside description; Instagram link in body; Pasted HTML junk</t>
  </si>
  <si>
    <t xml:space="preserve">MAGNÉSIUM BISGLYCINATE 90 CAPS</t>
  </si>
  <si>
    <t xml:space="preserve">Magnésium bisglycinate 90 gélules – Marvelous</t>
  </si>
  <si>
    <t xml:space="preserve">Magnésium bisglycinate 90 gélules – Marvelous | Nutrifitness</t>
  </si>
  <si>
    <t xml:space="preserve">NOX BURN 90 CAPS</t>
  </si>
  <si>
    <t xml:space="preserve">Nox Burn 90 gélules – Bigman</t>
  </si>
  <si>
    <t xml:space="preserve">Nox Burn 90 gélules – Bigman | Nutrifitness</t>
  </si>
  <si>
    <t xml:space="preserve">brûle, perte de poids</t>
  </si>
  <si>
    <t xml:space="preserve">TESTO ANABOL 90 COMPRIMÉS</t>
  </si>
  <si>
    <t xml:space="preserve">Testo Anabol 90 comprimés – Pronutrition</t>
  </si>
  <si>
    <t xml:space="preserve">Testo Anabol 90 comprimés – Pronutrition | Nutrifitness</t>
  </si>
  <si>
    <t xml:space="preserve">SOMMEIL</t>
  </si>
  <si>
    <t xml:space="preserve">Listed under SOMMEIL – wrong category</t>
  </si>
  <si>
    <t xml:space="preserve">"Anabol" / testosterone positioning</t>
  </si>
  <si>
    <t xml:space="preserve">hormon, testostérone</t>
  </si>
  <si>
    <t xml:space="preserve">Pasted HTML junk; ALL CAPS name</t>
  </si>
  <si>
    <t xml:space="preserve">CARNITINE SHOT LEMON 20 FIOLLES</t>
  </si>
  <si>
    <t xml:space="preserve">Carnitine shot citron – 20 fioles – Bigman</t>
  </si>
  <si>
    <t xml:space="preserve">Carnitine shot citron – 20 fioles – Bigman | Nutrifitness</t>
  </si>
  <si>
    <t xml:space="preserve">NOS BEST-SELLERS, PERTE DE POIDS, COMPLÉMENTS &gt; PERTE DE POIDS &amp; MÉTABOLISME</t>
  </si>
  <si>
    <t xml:space="preserve">perte de poids</t>
  </si>
  <si>
    <t xml:space="preserve">NAC + VITAMINE C-D 60 TABS</t>
  </si>
  <si>
    <t xml:space="preserve">NAC + Vitamine C-D 60 comprimés – Pronutrition</t>
  </si>
  <si>
    <t xml:space="preserve">ONE PIECE WHEY 1KG CHOCOLAT</t>
  </si>
  <si>
    <t xml:space="preserve">One Piece Whey chocolat 1 kg – Big</t>
  </si>
  <si>
    <t xml:space="preserve">One Piece Whey chocolat 1 kg – Big | Nutrifitness</t>
  </si>
  <si>
    <t xml:space="preserve">Big</t>
  </si>
  <si>
    <t xml:space="preserve">COMPLÉMENTS &gt; PROTÉINES &amp; GAINERS, SHAKERS</t>
  </si>
  <si>
    <t xml:space="preserve">Listed under SHAKERS – move to PROTÉINES only</t>
  </si>
  <si>
    <t xml:space="preserve">OZER VEGAN POST WORKOUT</t>
  </si>
  <si>
    <t xml:space="preserve">Ozer Vegan Post-Workout</t>
  </si>
  <si>
    <t xml:space="preserve">Ozer Vegan Post-Workout | Nutrifitness</t>
  </si>
  <si>
    <t xml:space="preserve">Ozer</t>
  </si>
  <si>
    <t xml:space="preserve">PROTÉINES, SHAKERS</t>
  </si>
  <si>
    <t xml:space="preserve">détox</t>
  </si>
  <si>
    <t xml:space="preserve">GLUCOART 90 Tabs</t>
  </si>
  <si>
    <t xml:space="preserve">Glucoart 90 comprimés – Pronutrition</t>
  </si>
  <si>
    <t xml:space="preserve">Glucoart 90 comprimés – Pronutrition | Nutrifitness</t>
  </si>
  <si>
    <t xml:space="preserve">NOS BEST-SELLERS, PERTE DE POIDS, COMPLÉMENTS &gt; PERTE DE POIDS &amp; MÉTABOLISME, VITAMINES - MINÉRAUX</t>
  </si>
  <si>
    <t xml:space="preserve">Pasted HTML junk</t>
  </si>
  <si>
    <t xml:space="preserve">GLUCOART POUDRE 200G</t>
  </si>
  <si>
    <t xml:space="preserve">Glucoart poudre 200 g – Pronutrition</t>
  </si>
  <si>
    <t xml:space="preserve">Glucoart poudre 200 g – Pronutrition | Nutrifitness</t>
  </si>
  <si>
    <t xml:space="preserve">Empty short description; H1 inside description; Pasted HTML junk; ALL CAPS name</t>
  </si>
  <si>
    <t xml:space="preserve">SHILAJIT PURE RESINE</t>
  </si>
  <si>
    <t xml:space="preserve">Shilajit résine pure</t>
  </si>
  <si>
    <t xml:space="preserve">Shilajit résine pure | Nutrifitness</t>
  </si>
  <si>
    <t xml:space="preserve">Shilajit</t>
  </si>
  <si>
    <t xml:space="preserve">NOS BEST-SELLERS, VITAMINES - MINÉRAUX</t>
  </si>
  <si>
    <t xml:space="preserve">détox, guéri</t>
  </si>
  <si>
    <t xml:space="preserve">FER LIPOSOMALE 90 TABS</t>
  </si>
  <si>
    <t xml:space="preserve">Fer liposomal 90 comprimés – Pronutrition</t>
  </si>
  <si>
    <t xml:space="preserve">Fer liposomal 90 comprimés – Pronutrition | Nutrifitness</t>
  </si>
  <si>
    <t xml:space="preserve">INFECTED PRE WORKOUT SANS STIM 500G</t>
  </si>
  <si>
    <t xml:space="preserve">Infected Pre-Workout sans stimulants 500 g – Marvelous</t>
  </si>
  <si>
    <t xml:space="preserve">Unpublished; Instagram link in body; Pasted HTML junk; ALL CAPS name</t>
  </si>
  <si>
    <t xml:space="preserve">MK7 VITAMINE D3 K2 90 CAPS</t>
  </si>
  <si>
    <t xml:space="preserve">MK7 Vitamine D3 K2 90 gélules – Marvelous</t>
  </si>
  <si>
    <t xml:space="preserve">MK7 Vitamine D3 K2 90 gélules – Marvelous | Nutrifitness</t>
  </si>
  <si>
    <t xml:space="preserve">STAGE DIURETIQUE 45 CAPS</t>
  </si>
  <si>
    <t xml:space="preserve">Stage Drainage 45 gélules – Marvelous</t>
  </si>
  <si>
    <t xml:space="preserve">Stage Drainage 45 gélules – Marvelous | Nutrifitness</t>
  </si>
  <si>
    <t xml:space="preserve">Listed under VITAMINES - MINÉRAUX + PERTE DE POIDS – pick one primary</t>
  </si>
  <si>
    <t xml:space="preserve">"Diurétique" in current name (claim)</t>
  </si>
  <si>
    <t xml:space="preserve">diurétique, dépura, détox, rétention d</t>
  </si>
  <si>
    <t xml:space="preserve">H1 inside description; Pasted HTML junk; ALL CAPS name</t>
  </si>
  <si>
    <t xml:space="preserve">RECHARGE 90 CAPS</t>
  </si>
  <si>
    <t xml:space="preserve">Recharge 90 gélules – Marvelous</t>
  </si>
  <si>
    <t xml:space="preserve">Recharge 90 gélules – Marvelous | Nutrifitness</t>
  </si>
  <si>
    <t xml:space="preserve">APRES SPORT, NOS BEST-SELLERS, PERTE DE POIDS, COMPLÉMENTS &gt; PERTE DE POIDS &amp; MÉTABOLISME, VITAMINES - MINÉRAUX</t>
  </si>
  <si>
    <t xml:space="preserve">5 categories – pick one primary</t>
  </si>
  <si>
    <t xml:space="preserve">PANCAKE PROTÉINÉS 800G</t>
  </si>
  <si>
    <t xml:space="preserve">Pancakes protéinés 800 g – Pronutrition</t>
  </si>
  <si>
    <t xml:space="preserve">Pancakes protéinés 800 g – Pronutrition | Nutrifitness</t>
  </si>
  <si>
    <t xml:space="preserve">PROTÉINES, SNACKS</t>
  </si>
  <si>
    <t xml:space="preserve">1 of 3 variations missing</t>
  </si>
  <si>
    <t xml:space="preserve">CALIBRATION ORGANE SUPPORT 120 CAPS</t>
  </si>
  <si>
    <t xml:space="preserve">Calibration Organe Support 120 gélules – Marvelous</t>
  </si>
  <si>
    <t xml:space="preserve">détox, hormon</t>
  </si>
  <si>
    <t xml:space="preserve">MARVELOUS CRÈME DE RIZ 1.4KG</t>
  </si>
  <si>
    <t xml:space="preserve">Crème de riz 1,4 kg – Marvelous</t>
  </si>
  <si>
    <t xml:space="preserve">Crème de riz 1,4 kg – Marvelous | Nutrifitness</t>
  </si>
  <si>
    <t xml:space="preserve">GLUCIDES, NOS BEST-SELLERS, PRENDRE DU MUSCLE, SNACKS</t>
  </si>
  <si>
    <t xml:space="preserve">2 of 6 variations missing</t>
  </si>
  <si>
    <t xml:space="preserve">MUSCLES WHEY 2KG</t>
  </si>
  <si>
    <t xml:space="preserve">Muscles Whey 2 kg – Marvelous</t>
  </si>
  <si>
    <t xml:space="preserve">Muscles Whey 2 kg – Marvelous | Nutrifitness</t>
  </si>
  <si>
    <t xml:space="preserve">PROTÉINES, COMPLÉMENTS &gt; PROTÉINES &amp; GAINERS</t>
  </si>
  <si>
    <t xml:space="preserve">MEGA MASS 4000 3KG</t>
  </si>
  <si>
    <t xml:space="preserve">Mega Mass 4000 3 kg – Dymatize</t>
  </si>
  <si>
    <t xml:space="preserve">Mega Mass 4000 3 kg – Dymatize | Nutrifitness</t>
  </si>
  <si>
    <t xml:space="preserve">Dymatize</t>
  </si>
  <si>
    <t xml:space="preserve">L-CITRULLINE 100% PURE 250G</t>
  </si>
  <si>
    <t xml:space="preserve">L-citrulline 100 % pure 250 g – Marvelous</t>
  </si>
  <si>
    <t xml:space="preserve">L-citrulline 100 % pure 250 g – Marvelous | Nutrifitness</t>
  </si>
  <si>
    <t xml:space="preserve">MORE SPRAY COOKER 200ML</t>
  </si>
  <si>
    <t xml:space="preserve">Spray de cuisson 200 ml – More</t>
  </si>
  <si>
    <t xml:space="preserve">Spray de cuisson 200 ml – More | Nutrifitness</t>
  </si>
  <si>
    <t xml:space="preserve">More</t>
  </si>
  <si>
    <t xml:space="preserve">SNACKS</t>
  </si>
  <si>
    <t xml:space="preserve">Cooking spray in SNACKS – consider a food/pantry category</t>
  </si>
  <si>
    <t xml:space="preserve">MUFFIN KETO SANS SUCRES 50G</t>
  </si>
  <si>
    <t xml:space="preserve">Muffin keto sans sucres 50 g – Pronutrition</t>
  </si>
  <si>
    <t xml:space="preserve">Muffin keto sans sucres 50 g – Pronutrition | Nutrifitness</t>
  </si>
  <si>
    <t xml:space="preserve">Unpublished; H1 inside description; Pasted HTML junk; ALL CAPS name</t>
  </si>
  <si>
    <t xml:space="preserve">MAX PROTÉINES COOKIE</t>
  </si>
  <si>
    <t xml:space="preserve">Max Protein Cookie – Bigs Supplements</t>
  </si>
  <si>
    <t xml:space="preserve">Max Protein Cookie – Bigs Supplements | Nutrifitness</t>
  </si>
  <si>
    <t xml:space="preserve">Bigs Supplements</t>
  </si>
  <si>
    <t xml:space="preserve">NUTRY NUTS CUPS</t>
  </si>
  <si>
    <t xml:space="preserve">Nutry Nuts Cups</t>
  </si>
  <si>
    <t xml:space="preserve">Nutry Nuts Cups | Nutrifitness</t>
  </si>
  <si>
    <t xml:space="preserve">Nutry</t>
  </si>
  <si>
    <t xml:space="preserve">4 of 6 variations missing</t>
  </si>
  <si>
    <t xml:space="preserve">CAFFEINE 200MG 60 TABS</t>
  </si>
  <si>
    <t xml:space="preserve">Caféine 200 mg – 60 comprimés – Pronutrition</t>
  </si>
  <si>
    <t xml:space="preserve">Caféine 200 mg – 60 comprimés – Pronutrition | Nutrifitness</t>
  </si>
  <si>
    <t xml:space="preserve">PEANUT BUTTER CREMEUX 500G</t>
  </si>
  <si>
    <t xml:space="preserve">Beurre de cacahuète crémeux 500 g – Pronutrition</t>
  </si>
  <si>
    <t xml:space="preserve">NAC PHARMA GRADE 60 CAPS</t>
  </si>
  <si>
    <t xml:space="preserve">NAC Pharma Grade 60 gélules – Marvelous</t>
  </si>
  <si>
    <t xml:space="preserve">NAC Pharma Grade 60 gélules – Marvelous | Nutrifitness</t>
  </si>
  <si>
    <t xml:space="preserve">UFO BLAST</t>
  </si>
  <si>
    <t xml:space="preserve">UFO Blast</t>
  </si>
  <si>
    <t xml:space="preserve">UFO Blast | Nutrifitness</t>
  </si>
  <si>
    <t xml:space="preserve">No brand set; Empty short description; Empty long description; Unpublished; ALL CAPS name</t>
  </si>
  <si>
    <t xml:space="preserve">TESTOMAN 120 CAPS</t>
  </si>
  <si>
    <t xml:space="preserve">Testoman 120 gélules – Marvelous</t>
  </si>
  <si>
    <t xml:space="preserve">Testoman 120 gélules – Marvelous | Nutrifitness</t>
  </si>
  <si>
    <t xml:space="preserve">Testosterone positioning in name</t>
  </si>
  <si>
    <t xml:space="preserve">hormon, maigr, testostérone</t>
  </si>
  <si>
    <t xml:space="preserve">HBVC CHOLESTEROL SUPPORT 90 CAPS</t>
  </si>
  <si>
    <t xml:space="preserve">HBVC 90 gélules – Marvelous</t>
  </si>
  <si>
    <t xml:space="preserve">HBVC 90 gélules – Marvelous | Nutrifitness</t>
  </si>
  <si>
    <t xml:space="preserve">"Cholesterol Support" in current name (claim)</t>
  </si>
  <si>
    <t xml:space="preserve">cholestérol, hormon</t>
  </si>
  <si>
    <t xml:space="preserve">SUPER DIGESTIVE 60 CAPS</t>
  </si>
  <si>
    <t xml:space="preserve">Super Digestive 60 gélules – Marvelous</t>
  </si>
  <si>
    <t xml:space="preserve">Super Digestive 60 gélules – Marvelous | Nutrifitness</t>
  </si>
  <si>
    <t xml:space="preserve">BIG FLAPJACK 100G</t>
  </si>
  <si>
    <t xml:space="preserve">Big Flapjack 100 g – Moose Muscle</t>
  </si>
  <si>
    <t xml:space="preserve">Big Flapjack 100 g – Moose Muscle | Nutrifitness</t>
  </si>
  <si>
    <t xml:space="preserve">Moose Muscle</t>
  </si>
  <si>
    <t xml:space="preserve">1 of 5 variations missing</t>
  </si>
  <si>
    <t xml:space="preserve">PIADINA KETO 120G</t>
  </si>
  <si>
    <t xml:space="preserve">Piadina keto 120 g – Pronutrition</t>
  </si>
  <si>
    <t xml:space="preserve">Piadina keto 120 g – Pronutrition | Nutrifitness</t>
  </si>
  <si>
    <t xml:space="preserve">CREATINE POUDRE 90G</t>
  </si>
  <si>
    <t xml:space="preserve">Créatine en poudre 90 g – Bigman</t>
  </si>
  <si>
    <t xml:space="preserve">Créatine en poudre 90 g – Bigman | Nutrifitness</t>
  </si>
  <si>
    <t xml:space="preserve">AVANT SPORT, CRÉATINE, NOS BEST-SELLERS</t>
  </si>
  <si>
    <t xml:space="preserve">ISO 80X GRASS FED 2KG</t>
  </si>
  <si>
    <t xml:space="preserve">Iso 80X Grass Fed 2 kg – Dirty Squads</t>
  </si>
  <si>
    <t xml:space="preserve">Iso 80X Grass Fed 2 kg – Dirty Squads | Nutrifitness</t>
  </si>
  <si>
    <t xml:space="preserve">Dirty Squads</t>
  </si>
  <si>
    <t xml:space="preserve">4 of 4 variations missing</t>
  </si>
  <si>
    <t xml:space="preserve">ISO 90X CFM 1KG</t>
  </si>
  <si>
    <t xml:space="preserve">Iso 90X CFM 1 kg – Dirty Squads</t>
  </si>
  <si>
    <t xml:space="preserve">Iso 90X CFM 1 kg – Dirty Squads | Nutrifitness</t>
  </si>
  <si>
    <t xml:space="preserve">DIRTY AMINO X9 300G</t>
  </si>
  <si>
    <t xml:space="preserve">Dirty Amino X9 300 g – Dirty Squads</t>
  </si>
  <si>
    <t xml:space="preserve">Dirty Amino X9 300 g – Dirty Squads | Nutrifitness</t>
  </si>
  <si>
    <t xml:space="preserve">APRES SPORT, AVANT SPORT, BCAA, NOS BEST-SELLERS, PENDANT SPORT</t>
  </si>
  <si>
    <t xml:space="preserve">DIRTY CLUSTER DEX 1KG</t>
  </si>
  <si>
    <t xml:space="preserve">Dirty Cluster Dex 1 kg – Dirty Squads</t>
  </si>
  <si>
    <t xml:space="preserve">Dirty Cluster Dex 1 kg – Dirty Squads | Nutrifitness</t>
  </si>
  <si>
    <t xml:space="preserve">APRES SPORT, AVANT SPORT, NOS BEST-SELLERS, PENDANT SPORT</t>
  </si>
  <si>
    <t xml:space="preserve">ANABOLIC MASS 2.5KG</t>
  </si>
  <si>
    <t xml:space="preserve">Anabolic Mass 2,5 kg – Dirty Squads</t>
  </si>
  <si>
    <t xml:space="preserve">Anabolic Mass 2,5 kg – Dirty Squads | Nutrifitness</t>
  </si>
  <si>
    <t xml:space="preserve">NOS BEST-SELLERS, PRENDRE DU MUSCLE, COMPLÉMENTS &gt; PROTÉINES &amp; GAINERS</t>
  </si>
  <si>
    <t xml:space="preserve">Ashwagandha KSM-66® 600mg</t>
  </si>
  <si>
    <t xml:space="preserve">Ashwagandha KSM-66® 600 mg – Bigman</t>
  </si>
  <si>
    <t xml:space="preserve">Ashwagandha KSM-66® 600 mg – Bigman | Nutrifitness</t>
  </si>
  <si>
    <t xml:space="preserve">COMPLÉMENTS &gt; SANTÉ &amp; BIEN-ÊTRE</t>
  </si>
  <si>
    <t xml:space="preserve">Instagram link in body; Pasted HTML junk</t>
  </si>
  <si>
    <t xml:space="preserve">ABE DRINK</t>
  </si>
  <si>
    <t xml:space="preserve">ABE Drink – Applied Nutrition</t>
  </si>
  <si>
    <t xml:space="preserve">ABE Drink – Applied Nutrition | Nutrifitness</t>
  </si>
  <si>
    <t xml:space="preserve">COMPLÉMENTS &gt; PERFORMANCE &amp; PRÉ-WORKOUT</t>
  </si>
  <si>
    <t xml:space="preserve">PURÉE D'AMANDE 650G</t>
  </si>
  <si>
    <t xml:space="preserve">Purée d'amande 650 g – Bio pour tous</t>
  </si>
  <si>
    <t xml:space="preserve">Purée d'amande 650 g – Bio pour tous | Nutrifitness</t>
  </si>
  <si>
    <t xml:space="preserve">Bio pour tous</t>
  </si>
  <si>
    <t xml:space="preserve">NUTRITION SPORTIVE &amp; HEALTHY FOOD &gt; BEURRE &amp; PRÉPARATIONS SPORTIVES, NOS BEST-SELLERS, NUTRITION SPORTIVE &amp; HEALTHY FOOD, SNACKS</t>
  </si>
  <si>
    <t xml:space="preserve">FRUTILU HYDRATION SACHET</t>
  </si>
  <si>
    <t xml:space="preserve">Frutilu Hydratation – sachets – Pronutrition</t>
  </si>
  <si>
    <t xml:space="preserve">Frutilu Hydratation – sachets – Pronutrition | Nutrifitness</t>
  </si>
  <si>
    <t xml:space="preserve">NOS BEST-SELLERS, SNACKS, VITAMINES - MINÉRAUX</t>
  </si>
  <si>
    <t xml:space="preserve">1 of 6 variations missing</t>
  </si>
  <si>
    <t xml:space="preserve">BERBERINA 60 TABS</t>
  </si>
  <si>
    <t xml:space="preserve">Berbérine 60 comprimés – Pronutrition</t>
  </si>
  <si>
    <t xml:space="preserve">Berbérine 60 comprimés – Pronutrition | Nutrifitness</t>
  </si>
  <si>
    <t xml:space="preserve">détox, soigne, traite</t>
  </si>
  <si>
    <t xml:space="preserve">STIMX 300G</t>
  </si>
  <si>
    <t xml:space="preserve">StimX 300 g – Dirty Squads</t>
  </si>
  <si>
    <t xml:space="preserve">StimX 300 g – Dirty Squads | Nutrifitness</t>
  </si>
  <si>
    <t xml:space="preserve">BROMÉLAÏNE 60 TABS 1000MG</t>
  </si>
  <si>
    <t xml:space="preserve">Bromélaïne 1000 mg – 60 comprimés – Pronutrition</t>
  </si>
  <si>
    <t xml:space="preserve">traite</t>
  </si>
  <si>
    <t xml:space="preserve">FAT BURN 60 CAPS</t>
  </si>
  <si>
    <t xml:space="preserve">Fat Burn 60 gélules – Dirty Squads</t>
  </si>
  <si>
    <t xml:space="preserve">Fat Burn 60 gélules – Dirty Squads | Nutrifitness</t>
  </si>
  <si>
    <t xml:space="preserve">"Fat Burn" in name (claim)</t>
  </si>
  <si>
    <t xml:space="preserve">ZINC BISGLYCINATE 160 CAPS</t>
  </si>
  <si>
    <t xml:space="preserve">Zinc bisglycinate 160 gélules – Bodyattack</t>
  </si>
  <si>
    <t xml:space="preserve">Zinc bisglycinate 160 gélules – Bodyattack | Nutrifitness</t>
  </si>
  <si>
    <t xml:space="preserve">MAGNÉSIUM BISGLYCINATE 60 TABS</t>
  </si>
  <si>
    <t xml:space="preserve">Magnésium bisglycinate 60 comprimés</t>
  </si>
  <si>
    <t xml:space="preserve">Magnésium bisglycinate 60 comprimés | Nutrifitness</t>
  </si>
  <si>
    <t xml:space="preserve">Listed under SHAKERS – move to VITAMINES - MINÉRAUX</t>
  </si>
  <si>
    <t xml:space="preserve">No brand set; Empty short description; H1 inside description; Instagram link in body; Pasted HTML junk; ALL CAPS name</t>
  </si>
  <si>
    <t xml:space="preserve">GLYCINE 300G</t>
  </si>
  <si>
    <t xml:space="preserve">Glycine 300 g – Bigman</t>
  </si>
  <si>
    <t xml:space="preserve">Glycine 300 g – Bigman | Nutrifitness</t>
  </si>
  <si>
    <t xml:space="preserve">FARINE D'AVOINE 1KG</t>
  </si>
  <si>
    <t xml:space="preserve">Farine d'avoine 1 kg – Pronutrition</t>
  </si>
  <si>
    <t xml:space="preserve">Farine d'avoine 1 kg – Pronutrition | Nutrifitness</t>
  </si>
  <si>
    <t xml:space="preserve">APRES SPORT, GLUCIDES, NOS BEST-SELLERS, SNACKS</t>
  </si>
  <si>
    <t xml:space="preserve">Le Guide Ultime des Compléments</t>
  </si>
  <si>
    <t xml:space="preserve">Le Guide Ultime des Compléments (ebook)</t>
  </si>
  <si>
    <t xml:space="preserve">Le Guide Ultime des Compléments (ebook) | Nutrifitness</t>
  </si>
  <si>
    <t xml:space="preserve">Guides &amp; Ebooks</t>
  </si>
  <si>
    <t xml:space="preserve">Digital product – separate category/URL pattern, not a supplement page</t>
  </si>
  <si>
    <t xml:space="preserve">2 of 2 variations missing</t>
  </si>
  <si>
    <t xml:space="preserve">No brand set</t>
  </si>
  <si>
    <t xml:space="preserve">MARVELOUS GLUTAMINE KYOWA 300G</t>
  </si>
  <si>
    <t xml:space="preserve">Glutamine Kyowa 300 g – Marvelous</t>
  </si>
  <si>
    <t xml:space="preserve">Glutamine Kyowa 300 g – Marvelous | Nutrifitness</t>
  </si>
  <si>
    <t xml:space="preserve">COMPLÉMENTS &gt; RÉCUPÉRATION &amp; ACIDES AMINÉS</t>
  </si>
  <si>
    <t xml:space="preserve">APPLIED CREATINE MONOHYDRATE 250G</t>
  </si>
  <si>
    <t xml:space="preserve">Créatine monohydrate 250 g – Applied Nutrition</t>
  </si>
  <si>
    <t xml:space="preserve">CRÉATINE</t>
  </si>
  <si>
    <t xml:space="preserve">SANDWICH KETO BAR</t>
  </si>
  <si>
    <t xml:space="preserve">Sandwich keto bar – Pronutrition</t>
  </si>
  <si>
    <t xml:space="preserve">Sandwich keto bar – Pronutrition | Nutrifitness</t>
  </si>
  <si>
    <t xml:space="preserve">Field</t>
  </si>
  <si>
    <t xml:space="preserve">Product 1 – ID 25611 (Applied Nutrition)</t>
  </si>
  <si>
    <t xml:space="preserve">Product 2 – ID 9526 (Marvelous)</t>
  </si>
  <si>
    <t xml:space="preserve">NEW name</t>
  </si>
  <si>
    <t xml:space="preserve">New short description</t>
  </si>
  <si>
    <t xml:space="preserve">Créatine monohydrate micronisée à 100 %, en pot de 250 g (50 portions de 5 g). Une poudre simple, sans autre ingrédient, pour les sportifs en musculation et en efforts intenses et répétés. Se mélange à l'eau ou au shaker. Testée dans le cadre du programme Informed Sport.</t>
  </si>
  <si>
    <t xml:space="preserve">Créatine en poudre 200 mesh (particules très fines), pot de 300 g, pour la musculation et les sports de force. Dose d'usage : 5 g par jour, à mélanger à la boisson de votre choix. [À VÉRIFIER : forme de créatine et nombre de portions sur l'étiquette]</t>
  </si>
  <si>
    <t xml:space="preserve">Meta title</t>
  </si>
  <si>
    <t xml:space="preserve">Créatine 200 mesh 300 g – Marvelous | Nutrifitness</t>
  </si>
  <si>
    <t xml:space="preserve">Meta description</t>
  </si>
  <si>
    <t xml:space="preserve">Créatine monohydrate micronisée Applied Nutrition, 250 g (50 portions de 5 g). Boutique à Genève et livraison dans toute la Suisse.</t>
  </si>
  <si>
    <t xml:space="preserve">Créatine en poudre 200 mesh Marvelous, pot de 300 g. Mode d'emploi, conseils et livraison en Suisse. Boutique à Genève.</t>
  </si>
  <si>
    <t xml:space="preserve">Image alt text 1</t>
  </si>
  <si>
    <t xml:space="preserve">Pot de créatine monohydrate Applied Nutrition 250 g</t>
  </si>
  <si>
    <t xml:space="preserve">Pot de créatine en poudre 200 mesh Marvelous 300 g</t>
  </si>
  <si>
    <t xml:space="preserve">Image alt text 2</t>
  </si>
  <si>
    <t xml:space="preserve">Valeurs nutritionnelles de la créatine monohydrate Applied Nutrition 250 g</t>
  </si>
  <si>
    <t xml:space="preserve">[À définir selon l'image d'étiquette]</t>
  </si>
  <si>
    <t xml:space="preserve">New long description (HTML, no H1)</t>
  </si>
  <si>
    <t xml:space="preserve">&lt;h2&gt;Créatine monohydrate Applied Nutrition 250 g : l'essentiel&lt;/h2&gt;
&lt;p&gt;Cette créatine monohydrate Applied Nutrition est une poudre micronisée composée à 100 % de créatine monohydrate. Elle s'adresse aux sportifs qui pratiquent la musculation ou des efforts courts, intenses et répétés. Le pot de 250 g contient 50 portions de 5 g.&lt;/p&gt;
&lt;h2&gt;Pour qui ?&lt;/h2&gt;
&lt;p&gt;Pour les pratiquants de musculation, de sports de force ou d'entraînements par séries courtes et intenses, qui cherchent un complément simple, sans mélange d'ingrédients.&lt;/p&gt;
&lt;h2&gt;Caractéristiques clés&lt;/h2&gt;
&lt;ul&gt;
&lt;li&gt;100 % créatine monohydrate micronisée, sans autre ingrédient&lt;/li&gt;
&lt;li&gt;5 g (5 000 mg) de créatine par portion&lt;/li&gt;
&lt;li&gt;Pot de 250 g = 50 portions&lt;/li&gt;
&lt;li&gt;Poudre fine qui se mélange facilement à l'eau ou à un shaker&lt;/li&gt;
&lt;li&gt;Testée dans le cadre du programme Informed Sport&lt;/li&gt;
&lt;/ul&gt;
&lt;h2&gt;Conseils d'utilisation&lt;/h2&gt;
&lt;p&gt;Mélangez 1 mesure de 5 g avec 200 à 300 ml d'eau ou votre boisson préférée. Prenez-la tous les jours, y compris les jours de repos. Vous pouvez aussi l'ajouter à votre shaker de protéines. Respectez les recommandations figurant sur l'emballage.&lt;/p&gt;
&lt;p&gt;La créatine augmente la performance physique lors d'exercices successifs de courte durée et de haute intensité. L'effet bénéfique est obtenu avec une consommation quotidienne de 3 g.&lt;/p&gt;
&lt;h2&gt;Composition et valeurs nutritionnelles&lt;/h2&gt;
&lt;table&gt;&lt;tr&gt;&lt;th&gt;Information&lt;/th&gt;&lt;th&gt;Par portion&lt;/th&gt;&lt;/tr&gt;
&lt;tr&gt;&lt;td&gt;Créatine monohydrate&lt;/td&gt;&lt;td&gt;5 000 mg&lt;/td&gt;&lt;/tr&gt;
&lt;tr&gt;&lt;td&gt;Taille d'une portion&lt;/td&gt;&lt;td&gt;5 g&lt;/td&gt;&lt;/tr&gt;
&lt;tr&gt;&lt;td&gt;Nombre de portions&lt;/td&gt;&lt;td&gt;50&lt;/td&gt;&lt;/tr&gt;
&lt;tr&gt;&lt;td&gt;Poids net&lt;/td&gt;&lt;td&gt;250 g&lt;/td&gt;&lt;/tr&gt;&lt;/table&gt;
&lt;p&gt;&lt;strong&gt;Ingrédients :&lt;/strong&gt; 100 % créatine monohydrate.&lt;br&gt;&lt;strong&gt;Allergènes :&lt;/strong&gt; fabriquée dans une installation qui manipule aussi du lait, du soja, des œufs, du poisson, du gluten et leurs dérivés.&lt;/p&gt;
&lt;p&gt;&lt;em&gt;Les compléments alimentaires ne remplacent pas une alimentation variée et équilibrée. En cas de maladie rénale, demandez conseil à votre médecin avant toute supplémentation.&lt;/em&gt;&lt;/p&gt;
&lt;h2&gt;Acheter chez Nutrifitness&lt;/h2&gt;
&lt;p&gt;Disponible dans notre boutique de Genève et en livraison dans toute la Suisse.&lt;/p&gt;
&lt;h2&gt;Questions fréquentes&lt;/h2&gt;
&lt;h3&gt;Combien de temps dure un pot de 250 g ?&lt;/h3&gt;
&lt;p&gt;Avec une portion de 5 g par jour, un pot dure 50 jours.&lt;/p&gt;
&lt;h3&gt;Faut-il prendre la créatine les jours de repos ?&lt;/h3&gt;
&lt;p&gt;Oui, la prise quotidienne est recommandée, y compris les jours sans entraînement.&lt;/p&gt;
&lt;h3&gt;Peut-on la mélanger à sa protéine en poudre ?&lt;/h3&gt;
&lt;p&gt;Oui, vous pouvez ajouter la mesure de 5 g directement dans votre shaker de protéines ou la diluer dans de l'eau.&lt;/p&gt;
&lt;h3&gt;Quelle est la différence avec une créatine « 200 mesh » ?&lt;/h3&gt;
&lt;p&gt;Ici la poudre est micronisée (très fine). Le détail de la finesse n'est pas précisé sur la fiche d'origine : &lt;strong&gt;[À VÉRIFIER avec le fournisseur avant publication]&lt;/strong&gt;.&lt;/p&gt;</t>
  </si>
  <si>
    <t xml:space="preserve">&lt;h2&gt;Créatine 200 mesh en poudre 300 g Marvelous : l'essentiel&lt;/h2&gt;
&lt;p&gt;La créatine 200 mesh de Marvelous est une poudre à granulométrie très fine : « 200 mesh » désigne des particules généralement inférieures à 74 microns, ce qui facilite le mélange dans une boisson. Pot de 300 g. &lt;strong&gt;[À VÉRIFIER : forme de créatine (monohydrate ?) et nombre de portions sur l'étiquette]&lt;/strong&gt;&lt;/p&gt;
&lt;h2&gt;Pour qui ?&lt;/h2&gt;
&lt;p&gt;Pour les pratiquants de musculation, de sports de force et d'entraînements par séries courtes et intenses.&lt;/p&gt;
&lt;h2&gt;Caractéristiques clés&lt;/h2&gt;
&lt;ul&gt;
&lt;li&gt;Créatine en poudre 200 mesh (particules très fines)&lt;/li&gt;
&lt;li&gt;Pot de 300 g&lt;/li&gt;
&lt;li&gt;Dose d'usage : 5 g par jour (1 mesure)&lt;/li&gt;
&lt;li&gt;Se mélange à la boisson de votre choix&lt;/li&gt;
&lt;/ul&gt;
&lt;h2&gt;Conseils d'utilisation&lt;/h2&gt;
&lt;p&gt;Prenez 5 g (1 mesure) par jour, de préférence après l'entraînement, avec une source de sucres rapides (banane, miel ou compote de pomme par exemple). Les jours sans entraînement, prenez 5 g le matin dans un jus de fruit pour garder un apport régulier.&lt;/p&gt;
&lt;p&gt;La créatine augmente la performance physique lors d'exercices successifs de courte durée et de haute intensité. L'effet bénéfique est obtenu avec une consommation quotidienne de 3 g. &lt;strong&gt;[Formulation à faire valider par le client selon la réglementation suisse]&lt;/strong&gt;&lt;/p&gt;
&lt;h2&gt;Composition et valeurs nutritionnelles&lt;/h2&gt;
&lt;p&gt;&lt;strong&gt;[À COMPLÉTER depuis l'étiquette : ingrédients, valeurs par portion, taille de portion, allergènes, pays de fabrication]&lt;/strong&gt;&lt;/p&gt;
&lt;p&gt;&lt;em&gt;Les compléments alimentaires ne remplacent pas une alimentation variée et équilibrée. En cas de maladie rénale, demandez conseil à votre médecin avant toute supplémentation.&lt;/em&gt;&lt;/p&gt;
&lt;h2&gt;Acheter chez Nutrifitness&lt;/h2&gt;
&lt;p&gt;Disponible dans notre boutique de Genève et en livraison dans toute la Suisse.&lt;/p&gt;
&lt;h2&gt;Questions fréquentes&lt;/h2&gt;
&lt;h3&gt;Que veut dire « 200 mesh » ?&lt;/h3&gt;
&lt;p&gt;Le maillage 200 correspond à des particules très petites, généralement inférieures à 74 microns. La poudre est donc fine et se dilue facilement.&lt;/p&gt;
&lt;h3&gt;Quand prendre la créatine ?&lt;/h3&gt;
&lt;p&gt;De préférence après l'entraînement, avec des sucres rapides. Les jours de repos, 5 g le matin dans un jus de fruit.&lt;/p&gt;
&lt;h3&gt;Combien de temps dure un pot de 300 g ?&lt;/h3&gt;
&lt;p&gt;Avec 5 g par jour : 60 jours. &lt;strong&gt;[À VÉRIFIER avec la taille de portion de l'étiquette]&lt;/strong&gt;&lt;/p&gt;</t>
  </si>
  <si>
    <t xml:space="preserve">What was wrong before</t>
  </si>
  <si>
    <t xml:space="preserve">H1 inside the description with pasted-editor CSS classes; product name repeated in ALL CAPS; no FAQ; no usage-by-day detail structure; brand not in the name format used by Google Shopping.</t>
  </si>
  <si>
    <t xml:space="preserve">Medical claims about Alzheimer's and Parkinson's; "jusqu'à 10 %" strength-gain claim; cognitive, hydration, "récupération rapide" claims; H1 in body; Instagram link as anchor; no nutrition table, ingredients, allergens or servings.</t>
  </si>
  <si>
    <t xml:space="preserve">Claims removed / review</t>
  </si>
  <si>
    <t xml:space="preserve">None removed. The creatine performance wording is kept because it was already on the current page; client to confirm it is allowed for Swiss food labelling.</t>
  </si>
  <si>
    <t xml:space="preserve">REMOVED: Alzheimer/Parkinson benefits, "gain de force jusqu'à 10 %", cognitive clarity/concentration, "hydratation cellulaire optimale décuple l'endurance", "récupération musculaire rapide". Replaced with one standard creatine performance sentence, flagged for client validation.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</si>
</sst>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E7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COUNTA(Catalogue!$A$2:$A$106)</f>
        <v>105</v>
      </c>
      <c r="C5" s="5"/>
      <c r="D5" s="4" t="s">
        <v>7</v>
      </c>
    </row>
    <row r="6" customFormat="false" ht="15" hidden="false" customHeight="false" outlineLevel="0" collapsed="false">
      <c r="A6" s="4" t="s">
        <v>8</v>
      </c>
      <c r="B6" s="4" t="n">
        <f aca="false">COUNTIF(Catalogue!$O$2:$O$106,"*ALL CAPS name*")</f>
        <v>101</v>
      </c>
      <c r="C6" s="5" t="n">
        <f aca="false">B6/$B$5</f>
        <v>0.961904761904762</v>
      </c>
      <c r="D6" s="4" t="s">
        <v>9</v>
      </c>
    </row>
    <row r="7" customFormat="false" ht="23.85" hidden="false" customHeight="false" outlineLevel="0" collapsed="false">
      <c r="A7" s="4" t="s">
        <v>10</v>
      </c>
      <c r="B7" s="4" t="n">
        <v>86</v>
      </c>
      <c r="C7" s="5" t="n">
        <f aca="false">B7/$B$5</f>
        <v>0.819047619047619</v>
      </c>
      <c r="D7" s="4" t="s">
        <v>11</v>
      </c>
    </row>
    <row r="8" customFormat="false" ht="15" hidden="false" customHeight="false" outlineLevel="0" collapsed="false">
      <c r="A8" s="4" t="s">
        <v>12</v>
      </c>
      <c r="B8" s="4" t="n">
        <f aca="false">COUNTIF(Catalogue!$H$2:$H$106,"— missing —")</f>
        <v>4</v>
      </c>
      <c r="C8" s="5" t="n">
        <f aca="false">B8/$B$5</f>
        <v>0.0380952380952381</v>
      </c>
      <c r="D8" s="4" t="s">
        <v>13</v>
      </c>
    </row>
    <row r="9" customFormat="false" ht="15" hidden="false" customHeight="false" outlineLevel="0" collapsed="false">
      <c r="A9" s="4" t="s">
        <v>14</v>
      </c>
      <c r="B9" s="4" t="n">
        <f aca="false">COUNTIF(Catalogue!$N$2:$N$106,"No")</f>
        <v>8</v>
      </c>
      <c r="C9" s="5" t="n">
        <f aca="false">B9/$B$5</f>
        <v>0.0761904761904762</v>
      </c>
      <c r="D9" s="4" t="s">
        <v>15</v>
      </c>
    </row>
    <row r="10" customFormat="false" ht="15" hidden="false" customHeight="false" outlineLevel="0" collapsed="false">
      <c r="A10" s="4" t="s">
        <v>16</v>
      </c>
      <c r="B10" s="4" t="n">
        <f aca="false">COUNTIF(Catalogue!$O$2:$O$106,"*Empty short*")</f>
        <v>4</v>
      </c>
      <c r="C10" s="5" t="n">
        <f aca="false">B10/$B$5</f>
        <v>0.0380952380952381</v>
      </c>
      <c r="D10" s="4" t="s">
        <v>17</v>
      </c>
    </row>
    <row r="11" customFormat="false" ht="15" hidden="false" customHeight="false" outlineLevel="0" collapsed="false">
      <c r="A11" s="4" t="s">
        <v>18</v>
      </c>
      <c r="B11" s="4" t="n">
        <f aca="false">COUNTIF(Catalogue!$O$2:$O$106,"*Empty long*")</f>
        <v>1</v>
      </c>
      <c r="C11" s="5" t="n">
        <f aca="false">B11/$B$5</f>
        <v>0.00952380952380953</v>
      </c>
      <c r="D11" s="4" t="s">
        <v>19</v>
      </c>
    </row>
    <row r="12" customFormat="false" ht="15" hidden="false" customHeight="false" outlineLevel="0" collapsed="false">
      <c r="A12" s="4" t="s">
        <v>20</v>
      </c>
      <c r="B12" s="4" t="n">
        <f aca="false">COUNTIF(Catalogue!$O$2:$O$106,"*H1 inside*")</f>
        <v>36</v>
      </c>
      <c r="C12" s="5" t="n">
        <f aca="false">B12/$B$5</f>
        <v>0.342857142857143</v>
      </c>
      <c r="D12" s="4" t="s">
        <v>21</v>
      </c>
    </row>
    <row r="13" customFormat="false" ht="15" hidden="false" customHeight="false" outlineLevel="0" collapsed="false">
      <c r="A13" s="4" t="s">
        <v>22</v>
      </c>
      <c r="B13" s="4" t="n">
        <f aca="false">COUNTIF(Catalogue!$O$2:$O$106,"*Instagram link*")</f>
        <v>77</v>
      </c>
      <c r="C13" s="5" t="n">
        <f aca="false">B13/$B$5</f>
        <v>0.733333333333333</v>
      </c>
      <c r="D13" s="4" t="s">
        <v>23</v>
      </c>
    </row>
    <row r="14" customFormat="false" ht="15" hidden="false" customHeight="false" outlineLevel="0" collapsed="false">
      <c r="A14" s="4" t="s">
        <v>24</v>
      </c>
      <c r="B14" s="4" t="n">
        <f aca="false">COUNTIF(Catalogue!$O$2:$O$106,"*Pasted HTML*")</f>
        <v>55</v>
      </c>
      <c r="C14" s="5" t="n">
        <f aca="false">B14/$B$5</f>
        <v>0.523809523809524</v>
      </c>
      <c r="D14" s="4" t="s">
        <v>25</v>
      </c>
    </row>
    <row r="15" customFormat="false" ht="15" hidden="false" customHeight="false" outlineLevel="0" collapsed="false">
      <c r="A15" s="4" t="s">
        <v>26</v>
      </c>
      <c r="B15" s="4" t="n">
        <f aca="false">COUNTIF(Catalogue!$L$2:$L$106,"?*")</f>
        <v>52</v>
      </c>
      <c r="C15" s="5" t="n">
        <f aca="false">B15/$B$5</f>
        <v>0.495238095238095</v>
      </c>
      <c r="D15" s="4" t="s">
        <v>27</v>
      </c>
    </row>
    <row r="16" customFormat="false" ht="15" hidden="false" customHeight="false" outlineLevel="0" collapsed="false">
      <c r="A16" s="4" t="s">
        <v>28</v>
      </c>
      <c r="B16" s="4" t="n">
        <f aca="false">COUNTIF(Catalogue!$K$2:$K$106,"?*")</f>
        <v>7</v>
      </c>
      <c r="C16" s="5" t="n">
        <f aca="false">B16/$B$5</f>
        <v>0.0666666666666667</v>
      </c>
      <c r="D16" s="4" t="s">
        <v>29</v>
      </c>
    </row>
    <row r="17" customFormat="false" ht="15" hidden="false" customHeight="false" outlineLevel="0" collapsed="false">
      <c r="A17" s="4" t="s">
        <v>30</v>
      </c>
      <c r="B17" s="4" t="n">
        <f aca="false">COUNTIF(Catalogue!$J$2:$J$106,"?*")</f>
        <v>13</v>
      </c>
      <c r="C17" s="5" t="n">
        <f aca="false">B17/$B$5</f>
        <v>0.123809523809524</v>
      </c>
      <c r="D17" s="4" t="s">
        <v>31</v>
      </c>
    </row>
    <row r="18" customFormat="false" ht="15" hidden="false" customHeight="false" outlineLevel="0" collapsed="false">
      <c r="A18" s="4" t="s">
        <v>32</v>
      </c>
      <c r="B18" s="4" t="n">
        <f aca="false">COUNTIF(Catalogue!$M$2:$M$106,"*missing*")</f>
        <v>21</v>
      </c>
      <c r="C18" s="5" t="n">
        <f aca="false">B18/$B$5</f>
        <v>0.2</v>
      </c>
      <c r="D18" s="4" t="s">
        <v>33</v>
      </c>
    </row>
    <row r="19" customFormat="false" ht="15" hidden="false" customHeight="false" outlineLevel="0" collapsed="false">
      <c r="A19" s="4" t="s">
        <v>34</v>
      </c>
      <c r="B19" s="4" t="n">
        <f aca="false">COUNTIF(Catalogue!$M$2:$M$106,"Missing")</f>
        <v>10</v>
      </c>
      <c r="C19" s="5" t="n">
        <f aca="false">B19/$B$5</f>
        <v>0.0952380952380952</v>
      </c>
      <c r="D19" s="4" t="s">
        <v>35</v>
      </c>
    </row>
    <row r="21" customFormat="false" ht="15" hidden="false" customHeight="false" outlineLevel="0" collapsed="false">
      <c r="A21" s="6" t="s">
        <v>36</v>
      </c>
    </row>
    <row r="22" customFormat="false" ht="30" hidden="false" customHeight="true" outlineLevel="0" collapsed="false">
      <c r="A22" s="7" t="s">
        <v>37</v>
      </c>
      <c r="B22" s="7"/>
      <c r="C22" s="7"/>
      <c r="D22" s="7"/>
    </row>
    <row r="23" customFormat="false" ht="30" hidden="false" customHeight="true" outlineLevel="0" collapsed="false">
      <c r="A23" s="7" t="s">
        <v>38</v>
      </c>
      <c r="B23" s="7"/>
      <c r="C23" s="7"/>
      <c r="D23" s="7"/>
    </row>
    <row r="24" customFormat="false" ht="30" hidden="false" customHeight="true" outlineLevel="0" collapsed="false">
      <c r="A24" s="7" t="s">
        <v>39</v>
      </c>
      <c r="B24" s="7"/>
      <c r="C24" s="7"/>
      <c r="D24" s="7"/>
    </row>
    <row r="25" customFormat="false" ht="30" hidden="false" customHeight="true" outlineLevel="0" collapsed="false">
      <c r="A25" s="7" t="s">
        <v>40</v>
      </c>
      <c r="B25" s="7"/>
      <c r="C25" s="7"/>
      <c r="D25" s="7"/>
    </row>
    <row r="26" customFormat="false" ht="30" hidden="false" customHeight="true" outlineLevel="0" collapsed="false">
      <c r="A26" s="7" t="s">
        <v>41</v>
      </c>
      <c r="B26" s="7"/>
      <c r="C26" s="7"/>
      <c r="D26" s="7"/>
    </row>
    <row r="27" customFormat="false" ht="30" hidden="false" customHeight="true" outlineLevel="0" collapsed="false">
      <c r="A27" s="7" t="s">
        <v>42</v>
      </c>
      <c r="B27" s="7"/>
      <c r="C27" s="7"/>
      <c r="D27" s="7"/>
    </row>
  </sheetData>
  <mergeCells count="6">
    <mergeCell ref="A22:D22"/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6" min="6" style="0" width="48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9" min="9" style="0" width="44"/>
    <col collapsed="false" customWidth="true" hidden="false" outlineLevel="0" max="10" min="10" style="0" width="40"/>
    <col collapsed="false" customWidth="true" hidden="false" outlineLevel="0" max="11" min="11" style="0" width="32"/>
    <col collapsed="false" customWidth="true" hidden="false" outlineLevel="0" max="12" min="12" style="0" width="34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5" min="15" style="0" width="60"/>
  </cols>
  <sheetData>
    <row r="1" customFormat="false" ht="35.05" hidden="false" customHeight="false" outlineLevel="0" collapsed="false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</row>
    <row r="2" customFormat="false" ht="23.85" hidden="false" customHeight="false" outlineLevel="0" collapsed="false">
      <c r="A2" s="4" t="n">
        <v>7854</v>
      </c>
      <c r="B2" s="4" t="s">
        <v>58</v>
      </c>
      <c r="C2" s="4" t="s">
        <v>59</v>
      </c>
      <c r="D2" s="4" t="s">
        <v>60</v>
      </c>
      <c r="E2" s="8" t="n">
        <f aca="false">LEN(D2)</f>
        <v>44</v>
      </c>
      <c r="F2" s="4" t="s">
        <v>61</v>
      </c>
      <c r="G2" s="8" t="n">
        <f aca="false">LEN(F2)</f>
        <v>59</v>
      </c>
      <c r="H2" s="4" t="s">
        <v>62</v>
      </c>
      <c r="I2" s="4" t="s">
        <v>63</v>
      </c>
      <c r="J2" s="4"/>
      <c r="K2" s="4"/>
      <c r="L2" s="4" t="s">
        <v>64</v>
      </c>
      <c r="M2" s="4" t="s">
        <v>65</v>
      </c>
      <c r="N2" s="4" t="s">
        <v>66</v>
      </c>
      <c r="O2" s="4" t="s">
        <v>67</v>
      </c>
    </row>
    <row r="3" customFormat="false" ht="15" hidden="false" customHeight="false" outlineLevel="0" collapsed="false">
      <c r="A3" s="4" t="n">
        <v>7870</v>
      </c>
      <c r="B3" s="4" t="s">
        <v>58</v>
      </c>
      <c r="C3" s="4" t="s">
        <v>68</v>
      </c>
      <c r="D3" s="4" t="s">
        <v>69</v>
      </c>
      <c r="E3" s="8" t="n">
        <f aca="false">LEN(D3)</f>
        <v>30</v>
      </c>
      <c r="F3" s="4" t="s">
        <v>70</v>
      </c>
      <c r="G3" s="8" t="n">
        <f aca="false">LEN(F3)</f>
        <v>45</v>
      </c>
      <c r="H3" s="4" t="s">
        <v>71</v>
      </c>
      <c r="I3" s="4" t="s">
        <v>72</v>
      </c>
      <c r="J3" s="4"/>
      <c r="K3" s="4"/>
      <c r="L3" s="4"/>
      <c r="M3" s="4" t="s">
        <v>65</v>
      </c>
      <c r="N3" s="4" t="s">
        <v>66</v>
      </c>
      <c r="O3" s="4" t="s">
        <v>67</v>
      </c>
    </row>
    <row r="4" customFormat="false" ht="15" hidden="false" customHeight="false" outlineLevel="0" collapsed="false">
      <c r="A4" s="4" t="n">
        <v>7890</v>
      </c>
      <c r="B4" s="4" t="s">
        <v>58</v>
      </c>
      <c r="C4" s="4" t="s">
        <v>73</v>
      </c>
      <c r="D4" s="4" t="s">
        <v>74</v>
      </c>
      <c r="E4" s="8" t="n">
        <f aca="false">LEN(D4)</f>
        <v>47</v>
      </c>
      <c r="F4" s="4" t="s">
        <v>74</v>
      </c>
      <c r="G4" s="8" t="n">
        <f aca="false">LEN(F4)</f>
        <v>47</v>
      </c>
      <c r="H4" s="4" t="s">
        <v>75</v>
      </c>
      <c r="I4" s="4" t="s">
        <v>76</v>
      </c>
      <c r="J4" s="4"/>
      <c r="K4" s="4"/>
      <c r="L4" s="4" t="s">
        <v>77</v>
      </c>
      <c r="M4" s="4" t="s">
        <v>78</v>
      </c>
      <c r="N4" s="4" t="s">
        <v>66</v>
      </c>
      <c r="O4" s="4" t="s">
        <v>79</v>
      </c>
    </row>
    <row r="5" customFormat="false" ht="23.85" hidden="false" customHeight="false" outlineLevel="0" collapsed="false">
      <c r="A5" s="4" t="n">
        <v>7901</v>
      </c>
      <c r="B5" s="4" t="s">
        <v>58</v>
      </c>
      <c r="C5" s="4" t="s">
        <v>80</v>
      </c>
      <c r="D5" s="4" t="s">
        <v>81</v>
      </c>
      <c r="E5" s="8" t="n">
        <f aca="false">LEN(D5)</f>
        <v>47</v>
      </c>
      <c r="F5" s="4" t="s">
        <v>81</v>
      </c>
      <c r="G5" s="8" t="n">
        <f aca="false">LEN(F5)</f>
        <v>47</v>
      </c>
      <c r="H5" s="4" t="s">
        <v>75</v>
      </c>
      <c r="I5" s="4" t="s">
        <v>82</v>
      </c>
      <c r="J5" s="4"/>
      <c r="K5" s="4"/>
      <c r="L5" s="4" t="s">
        <v>83</v>
      </c>
      <c r="M5" s="4" t="s">
        <v>78</v>
      </c>
      <c r="N5" s="4" t="s">
        <v>66</v>
      </c>
      <c r="O5" s="4" t="s">
        <v>79</v>
      </c>
    </row>
    <row r="6" customFormat="false" ht="15" hidden="false" customHeight="false" outlineLevel="0" collapsed="false">
      <c r="A6" s="4" t="n">
        <v>8857</v>
      </c>
      <c r="B6" s="4" t="s">
        <v>58</v>
      </c>
      <c r="C6" s="4" t="s">
        <v>84</v>
      </c>
      <c r="D6" s="4" t="s">
        <v>85</v>
      </c>
      <c r="E6" s="8" t="n">
        <f aca="false">LEN(D6)</f>
        <v>36</v>
      </c>
      <c r="F6" s="4" t="s">
        <v>86</v>
      </c>
      <c r="G6" s="8" t="n">
        <f aca="false">LEN(F6)</f>
        <v>51</v>
      </c>
      <c r="H6" s="4" t="s">
        <v>87</v>
      </c>
      <c r="I6" s="4" t="s">
        <v>88</v>
      </c>
      <c r="J6" s="4"/>
      <c r="K6" s="4"/>
      <c r="L6" s="4" t="s">
        <v>89</v>
      </c>
      <c r="M6" s="4" t="s">
        <v>78</v>
      </c>
      <c r="N6" s="4" t="s">
        <v>66</v>
      </c>
      <c r="O6" s="4" t="s">
        <v>79</v>
      </c>
    </row>
    <row r="7" customFormat="false" ht="15" hidden="false" customHeight="false" outlineLevel="0" collapsed="false">
      <c r="A7" s="4" t="n">
        <v>8867</v>
      </c>
      <c r="B7" s="4" t="s">
        <v>58</v>
      </c>
      <c r="C7" s="4" t="s">
        <v>90</v>
      </c>
      <c r="D7" s="4" t="s">
        <v>91</v>
      </c>
      <c r="E7" s="8" t="n">
        <f aca="false">LEN(D7)</f>
        <v>37</v>
      </c>
      <c r="F7" s="4" t="s">
        <v>92</v>
      </c>
      <c r="G7" s="8" t="n">
        <f aca="false">LEN(F7)</f>
        <v>52</v>
      </c>
      <c r="H7" s="4" t="s">
        <v>75</v>
      </c>
      <c r="I7" s="4" t="s">
        <v>93</v>
      </c>
      <c r="J7" s="4"/>
      <c r="K7" s="4"/>
      <c r="L7" s="4" t="s">
        <v>94</v>
      </c>
      <c r="M7" s="4" t="s">
        <v>78</v>
      </c>
      <c r="N7" s="4" t="s">
        <v>66</v>
      </c>
      <c r="O7" s="4" t="s">
        <v>67</v>
      </c>
    </row>
    <row r="8" customFormat="false" ht="23.85" hidden="false" customHeight="false" outlineLevel="0" collapsed="false">
      <c r="A8" s="4" t="n">
        <v>8942</v>
      </c>
      <c r="B8" s="4" t="s">
        <v>58</v>
      </c>
      <c r="C8" s="4" t="s">
        <v>95</v>
      </c>
      <c r="D8" s="4" t="s">
        <v>96</v>
      </c>
      <c r="E8" s="8" t="n">
        <f aca="false">LEN(D8)</f>
        <v>43</v>
      </c>
      <c r="F8" s="4" t="s">
        <v>97</v>
      </c>
      <c r="G8" s="8" t="n">
        <f aca="false">LEN(F8)</f>
        <v>58</v>
      </c>
      <c r="H8" s="4" t="s">
        <v>98</v>
      </c>
      <c r="I8" s="4" t="s">
        <v>99</v>
      </c>
      <c r="J8" s="4" t="s">
        <v>100</v>
      </c>
      <c r="K8" s="4"/>
      <c r="L8" s="4"/>
      <c r="M8" s="4" t="s">
        <v>78</v>
      </c>
      <c r="N8" s="4" t="s">
        <v>66</v>
      </c>
      <c r="O8" s="4" t="s">
        <v>79</v>
      </c>
    </row>
    <row r="9" customFormat="false" ht="15" hidden="false" customHeight="false" outlineLevel="0" collapsed="false">
      <c r="A9" s="4" t="n">
        <v>9378</v>
      </c>
      <c r="B9" s="4" t="s">
        <v>101</v>
      </c>
      <c r="C9" s="4" t="s">
        <v>102</v>
      </c>
      <c r="D9" s="4" t="s">
        <v>103</v>
      </c>
      <c r="E9" s="8" t="n">
        <f aca="false">LEN(D9)</f>
        <v>37</v>
      </c>
      <c r="F9" s="4" t="s">
        <v>104</v>
      </c>
      <c r="G9" s="8" t="n">
        <f aca="false">LEN(F9)</f>
        <v>52</v>
      </c>
      <c r="H9" s="4" t="s">
        <v>105</v>
      </c>
      <c r="I9" s="4" t="s">
        <v>106</v>
      </c>
      <c r="J9" s="4"/>
      <c r="K9" s="4"/>
      <c r="L9" s="4"/>
      <c r="M9" s="4" t="s">
        <v>107</v>
      </c>
      <c r="N9" s="4" t="s">
        <v>66</v>
      </c>
      <c r="O9" s="4" t="s">
        <v>79</v>
      </c>
    </row>
    <row r="10" customFormat="false" ht="23.85" hidden="false" customHeight="false" outlineLevel="0" collapsed="false">
      <c r="A10" s="4" t="n">
        <v>9526</v>
      </c>
      <c r="B10" s="4" t="s">
        <v>58</v>
      </c>
      <c r="C10" s="4" t="s">
        <v>108</v>
      </c>
      <c r="D10" s="4" t="s">
        <v>109</v>
      </c>
      <c r="E10" s="8" t="n">
        <f aca="false">LEN(D10)</f>
        <v>45</v>
      </c>
      <c r="F10" s="4" t="s">
        <v>110</v>
      </c>
      <c r="G10" s="8" t="n">
        <f aca="false">LEN(F10)</f>
        <v>60</v>
      </c>
      <c r="H10" s="4" t="s">
        <v>105</v>
      </c>
      <c r="I10" s="4" t="s">
        <v>111</v>
      </c>
      <c r="J10" s="4"/>
      <c r="K10" s="4"/>
      <c r="L10" s="4" t="s">
        <v>112</v>
      </c>
      <c r="M10" s="4" t="s">
        <v>78</v>
      </c>
      <c r="N10" s="4" t="s">
        <v>66</v>
      </c>
      <c r="O10" s="4" t="s">
        <v>79</v>
      </c>
    </row>
    <row r="11" customFormat="false" ht="15" hidden="false" customHeight="false" outlineLevel="0" collapsed="false">
      <c r="A11" s="4" t="n">
        <v>9616</v>
      </c>
      <c r="B11" s="4" t="s">
        <v>101</v>
      </c>
      <c r="C11" s="4" t="s">
        <v>113</v>
      </c>
      <c r="D11" s="4" t="s">
        <v>114</v>
      </c>
      <c r="E11" s="8" t="n">
        <f aca="false">LEN(D11)</f>
        <v>27</v>
      </c>
      <c r="F11" s="4" t="s">
        <v>115</v>
      </c>
      <c r="G11" s="8" t="n">
        <f aca="false">LEN(F11)</f>
        <v>42</v>
      </c>
      <c r="H11" s="4" t="s">
        <v>71</v>
      </c>
      <c r="I11" s="4" t="s">
        <v>72</v>
      </c>
      <c r="J11" s="4"/>
      <c r="K11" s="4"/>
      <c r="L11" s="4" t="s">
        <v>116</v>
      </c>
      <c r="M11" s="4" t="s">
        <v>117</v>
      </c>
      <c r="N11" s="4" t="s">
        <v>66</v>
      </c>
      <c r="O11" s="4" t="s">
        <v>79</v>
      </c>
    </row>
    <row r="12" customFormat="false" ht="23.85" hidden="false" customHeight="false" outlineLevel="0" collapsed="false">
      <c r="A12" s="4" t="n">
        <v>10022</v>
      </c>
      <c r="B12" s="4" t="s">
        <v>58</v>
      </c>
      <c r="C12" s="4" t="s">
        <v>118</v>
      </c>
      <c r="D12" s="4" t="s">
        <v>119</v>
      </c>
      <c r="E12" s="8" t="n">
        <f aca="false">LEN(D12)</f>
        <v>48</v>
      </c>
      <c r="F12" s="4" t="s">
        <v>119</v>
      </c>
      <c r="G12" s="8" t="n">
        <f aca="false">LEN(F12)</f>
        <v>48</v>
      </c>
      <c r="H12" s="4" t="s">
        <v>120</v>
      </c>
      <c r="I12" s="4" t="s">
        <v>121</v>
      </c>
      <c r="J12" s="4"/>
      <c r="K12" s="4"/>
      <c r="L12" s="4" t="s">
        <v>122</v>
      </c>
      <c r="M12" s="4" t="s">
        <v>78</v>
      </c>
      <c r="N12" s="4" t="s">
        <v>66</v>
      </c>
      <c r="O12" s="4" t="s">
        <v>123</v>
      </c>
    </row>
    <row r="13" customFormat="false" ht="15" hidden="false" customHeight="false" outlineLevel="0" collapsed="false">
      <c r="A13" s="4" t="n">
        <v>10083</v>
      </c>
      <c r="B13" s="4" t="s">
        <v>58</v>
      </c>
      <c r="C13" s="4" t="s">
        <v>124</v>
      </c>
      <c r="D13" s="4" t="s">
        <v>125</v>
      </c>
      <c r="E13" s="8" t="n">
        <f aca="false">LEN(D13)</f>
        <v>27</v>
      </c>
      <c r="F13" s="4" t="s">
        <v>126</v>
      </c>
      <c r="G13" s="8" t="n">
        <f aca="false">LEN(F13)</f>
        <v>42</v>
      </c>
      <c r="H13" s="4" t="s">
        <v>71</v>
      </c>
      <c r="I13" s="4" t="s">
        <v>127</v>
      </c>
      <c r="J13" s="4"/>
      <c r="K13" s="4"/>
      <c r="L13" s="4"/>
      <c r="M13" s="4" t="s">
        <v>65</v>
      </c>
      <c r="N13" s="4" t="s">
        <v>66</v>
      </c>
      <c r="O13" s="4" t="s">
        <v>79</v>
      </c>
    </row>
    <row r="14" customFormat="false" ht="23.85" hidden="false" customHeight="false" outlineLevel="0" collapsed="false">
      <c r="A14" s="4" t="n">
        <v>11236</v>
      </c>
      <c r="B14" s="4" t="s">
        <v>58</v>
      </c>
      <c r="C14" s="4" t="s">
        <v>128</v>
      </c>
      <c r="D14" s="4" t="s">
        <v>129</v>
      </c>
      <c r="E14" s="8" t="n">
        <f aca="false">LEN(D14)</f>
        <v>48</v>
      </c>
      <c r="F14" s="4" t="s">
        <v>129</v>
      </c>
      <c r="G14" s="8" t="n">
        <f aca="false">LEN(F14)</f>
        <v>48</v>
      </c>
      <c r="H14" s="4" t="s">
        <v>130</v>
      </c>
      <c r="I14" s="4" t="s">
        <v>131</v>
      </c>
      <c r="J14" s="4"/>
      <c r="K14" s="4"/>
      <c r="L14" s="4" t="s">
        <v>132</v>
      </c>
      <c r="M14" s="4" t="s">
        <v>78</v>
      </c>
      <c r="N14" s="4" t="s">
        <v>66</v>
      </c>
      <c r="O14" s="4" t="s">
        <v>79</v>
      </c>
    </row>
    <row r="15" customFormat="false" ht="15" hidden="false" customHeight="false" outlineLevel="0" collapsed="false">
      <c r="A15" s="4" t="n">
        <v>11269</v>
      </c>
      <c r="B15" s="4" t="s">
        <v>101</v>
      </c>
      <c r="C15" s="4" t="s">
        <v>133</v>
      </c>
      <c r="D15" s="4" t="s">
        <v>134</v>
      </c>
      <c r="E15" s="8" t="n">
        <f aca="false">LEN(D15)</f>
        <v>32</v>
      </c>
      <c r="F15" s="4" t="s">
        <v>135</v>
      </c>
      <c r="G15" s="8" t="n">
        <f aca="false">LEN(F15)</f>
        <v>47</v>
      </c>
      <c r="H15" s="4" t="s">
        <v>105</v>
      </c>
      <c r="I15" s="4" t="s">
        <v>136</v>
      </c>
      <c r="J15" s="4"/>
      <c r="K15" s="4"/>
      <c r="L15" s="4"/>
      <c r="M15" s="4" t="s">
        <v>107</v>
      </c>
      <c r="N15" s="4" t="s">
        <v>66</v>
      </c>
      <c r="O15" s="4" t="s">
        <v>137</v>
      </c>
    </row>
    <row r="16" customFormat="false" ht="15" hidden="false" customHeight="false" outlineLevel="0" collapsed="false">
      <c r="A16" s="4" t="n">
        <v>11296</v>
      </c>
      <c r="B16" s="4" t="s">
        <v>101</v>
      </c>
      <c r="C16" s="4" t="s">
        <v>138</v>
      </c>
      <c r="D16" s="4" t="s">
        <v>139</v>
      </c>
      <c r="E16" s="8" t="n">
        <f aca="false">LEN(D16)</f>
        <v>28</v>
      </c>
      <c r="F16" s="4" t="s">
        <v>140</v>
      </c>
      <c r="G16" s="8" t="n">
        <f aca="false">LEN(F16)</f>
        <v>43</v>
      </c>
      <c r="H16" s="4" t="s">
        <v>105</v>
      </c>
      <c r="I16" s="4" t="s">
        <v>141</v>
      </c>
      <c r="J16" s="4"/>
      <c r="K16" s="4"/>
      <c r="L16" s="4"/>
      <c r="M16" s="4" t="s">
        <v>117</v>
      </c>
      <c r="N16" s="4" t="s">
        <v>66</v>
      </c>
      <c r="O16" s="4" t="s">
        <v>79</v>
      </c>
    </row>
    <row r="17" customFormat="false" ht="23.85" hidden="false" customHeight="false" outlineLevel="0" collapsed="false">
      <c r="A17" s="4" t="n">
        <v>11328</v>
      </c>
      <c r="B17" s="4" t="s">
        <v>58</v>
      </c>
      <c r="C17" s="4" t="s">
        <v>142</v>
      </c>
      <c r="D17" s="4" t="s">
        <v>143</v>
      </c>
      <c r="E17" s="8" t="n">
        <f aca="false">LEN(D17)</f>
        <v>49</v>
      </c>
      <c r="F17" s="4" t="s">
        <v>143</v>
      </c>
      <c r="G17" s="8" t="n">
        <f aca="false">LEN(F17)</f>
        <v>49</v>
      </c>
      <c r="H17" s="4" t="s">
        <v>105</v>
      </c>
      <c r="I17" s="4" t="s">
        <v>144</v>
      </c>
      <c r="J17" s="4"/>
      <c r="K17" s="4"/>
      <c r="L17" s="4"/>
      <c r="M17" s="4" t="s">
        <v>78</v>
      </c>
      <c r="N17" s="4" t="s">
        <v>66</v>
      </c>
      <c r="O17" s="4" t="s">
        <v>79</v>
      </c>
    </row>
    <row r="18" customFormat="false" ht="15" hidden="false" customHeight="false" outlineLevel="0" collapsed="false">
      <c r="A18" s="4" t="n">
        <v>11379</v>
      </c>
      <c r="B18" s="4" t="s">
        <v>58</v>
      </c>
      <c r="C18" s="4" t="s">
        <v>145</v>
      </c>
      <c r="D18" s="4" t="s">
        <v>146</v>
      </c>
      <c r="E18" s="8" t="n">
        <f aca="false">LEN(D18)</f>
        <v>43</v>
      </c>
      <c r="F18" s="4" t="s">
        <v>147</v>
      </c>
      <c r="G18" s="8" t="n">
        <f aca="false">LEN(F18)</f>
        <v>58</v>
      </c>
      <c r="H18" s="4" t="s">
        <v>105</v>
      </c>
      <c r="I18" s="4" t="s">
        <v>76</v>
      </c>
      <c r="J18" s="4"/>
      <c r="K18" s="4"/>
      <c r="L18" s="4" t="s">
        <v>77</v>
      </c>
      <c r="M18" s="4" t="s">
        <v>78</v>
      </c>
      <c r="N18" s="4" t="s">
        <v>66</v>
      </c>
      <c r="O18" s="4" t="s">
        <v>79</v>
      </c>
    </row>
    <row r="19" customFormat="false" ht="15" hidden="false" customHeight="false" outlineLevel="0" collapsed="false">
      <c r="A19" s="4" t="n">
        <v>11389</v>
      </c>
      <c r="B19" s="4" t="s">
        <v>58</v>
      </c>
      <c r="C19" s="4" t="s">
        <v>148</v>
      </c>
      <c r="D19" s="4" t="s">
        <v>149</v>
      </c>
      <c r="E19" s="8" t="n">
        <f aca="false">LEN(D19)</f>
        <v>36</v>
      </c>
      <c r="F19" s="4" t="s">
        <v>150</v>
      </c>
      <c r="G19" s="8" t="n">
        <f aca="false">LEN(F19)</f>
        <v>51</v>
      </c>
      <c r="H19" s="4" t="s">
        <v>105</v>
      </c>
      <c r="I19" s="4" t="s">
        <v>151</v>
      </c>
      <c r="J19" s="4"/>
      <c r="K19" s="4"/>
      <c r="L19" s="4"/>
      <c r="M19" s="4" t="s">
        <v>78</v>
      </c>
      <c r="N19" s="4" t="s">
        <v>66</v>
      </c>
      <c r="O19" s="4" t="s">
        <v>79</v>
      </c>
    </row>
    <row r="20" customFormat="false" ht="15" hidden="false" customHeight="false" outlineLevel="0" collapsed="false">
      <c r="A20" s="4" t="n">
        <v>11648</v>
      </c>
      <c r="B20" s="4" t="s">
        <v>58</v>
      </c>
      <c r="C20" s="4" t="s">
        <v>152</v>
      </c>
      <c r="D20" s="4" t="s">
        <v>153</v>
      </c>
      <c r="E20" s="8" t="n">
        <f aca="false">LEN(D20)</f>
        <v>40</v>
      </c>
      <c r="F20" s="4" t="s">
        <v>154</v>
      </c>
      <c r="G20" s="8" t="n">
        <f aca="false">LEN(F20)</f>
        <v>55</v>
      </c>
      <c r="H20" s="4" t="s">
        <v>105</v>
      </c>
      <c r="I20" s="4" t="s">
        <v>155</v>
      </c>
      <c r="J20" s="4"/>
      <c r="K20" s="4"/>
      <c r="L20" s="4"/>
      <c r="M20" s="4" t="s">
        <v>78</v>
      </c>
      <c r="N20" s="4" t="s">
        <v>156</v>
      </c>
      <c r="O20" s="4" t="s">
        <v>157</v>
      </c>
    </row>
    <row r="21" customFormat="false" ht="15" hidden="false" customHeight="false" outlineLevel="0" collapsed="false">
      <c r="A21" s="4" t="n">
        <v>11806</v>
      </c>
      <c r="B21" s="4" t="s">
        <v>58</v>
      </c>
      <c r="C21" s="4" t="s">
        <v>158</v>
      </c>
      <c r="D21" s="4" t="s">
        <v>159</v>
      </c>
      <c r="E21" s="8" t="n">
        <f aca="false">LEN(D21)</f>
        <v>34</v>
      </c>
      <c r="F21" s="4" t="s">
        <v>160</v>
      </c>
      <c r="G21" s="8" t="n">
        <f aca="false">LEN(F21)</f>
        <v>49</v>
      </c>
      <c r="H21" s="4" t="s">
        <v>105</v>
      </c>
      <c r="I21" s="4" t="s">
        <v>76</v>
      </c>
      <c r="J21" s="4"/>
      <c r="K21" s="4"/>
      <c r="L21" s="4" t="s">
        <v>161</v>
      </c>
      <c r="M21" s="4" t="s">
        <v>78</v>
      </c>
      <c r="N21" s="4" t="s">
        <v>66</v>
      </c>
      <c r="O21" s="4" t="s">
        <v>67</v>
      </c>
    </row>
    <row r="22" customFormat="false" ht="23.85" hidden="false" customHeight="false" outlineLevel="0" collapsed="false">
      <c r="A22" s="4" t="n">
        <v>12578</v>
      </c>
      <c r="B22" s="4" t="s">
        <v>101</v>
      </c>
      <c r="C22" s="4" t="s">
        <v>162</v>
      </c>
      <c r="D22" s="4" t="s">
        <v>163</v>
      </c>
      <c r="E22" s="8" t="n">
        <f aca="false">LEN(D22)</f>
        <v>50</v>
      </c>
      <c r="F22" s="4" t="s">
        <v>163</v>
      </c>
      <c r="G22" s="8" t="n">
        <f aca="false">LEN(F22)</f>
        <v>50</v>
      </c>
      <c r="H22" s="4" t="s">
        <v>120</v>
      </c>
      <c r="I22" s="4" t="s">
        <v>155</v>
      </c>
      <c r="J22" s="4"/>
      <c r="K22" s="4"/>
      <c r="L22" s="4" t="s">
        <v>164</v>
      </c>
      <c r="M22" s="4" t="s">
        <v>107</v>
      </c>
      <c r="N22" s="4" t="s">
        <v>156</v>
      </c>
      <c r="O22" s="4" t="s">
        <v>165</v>
      </c>
    </row>
    <row r="23" customFormat="false" ht="23.85" hidden="false" customHeight="false" outlineLevel="0" collapsed="false">
      <c r="A23" s="4" t="n">
        <v>12650</v>
      </c>
      <c r="B23" s="4" t="s">
        <v>101</v>
      </c>
      <c r="C23" s="4" t="s">
        <v>166</v>
      </c>
      <c r="D23" s="4" t="s">
        <v>167</v>
      </c>
      <c r="E23" s="8" t="n">
        <f aca="false">LEN(D23)</f>
        <v>28</v>
      </c>
      <c r="F23" s="4" t="s">
        <v>168</v>
      </c>
      <c r="G23" s="8" t="n">
        <f aca="false">LEN(F23)</f>
        <v>43</v>
      </c>
      <c r="H23" s="4" t="s">
        <v>87</v>
      </c>
      <c r="I23" s="4" t="s">
        <v>131</v>
      </c>
      <c r="J23" s="4"/>
      <c r="K23" s="4"/>
      <c r="L23" s="4"/>
      <c r="M23" s="4" t="s">
        <v>107</v>
      </c>
      <c r="N23" s="4" t="s">
        <v>66</v>
      </c>
      <c r="O23" s="4" t="s">
        <v>67</v>
      </c>
    </row>
    <row r="24" customFormat="false" ht="35.05" hidden="false" customHeight="false" outlineLevel="0" collapsed="false">
      <c r="A24" s="4" t="n">
        <v>12855</v>
      </c>
      <c r="B24" s="4" t="s">
        <v>58</v>
      </c>
      <c r="C24" s="4" t="s">
        <v>169</v>
      </c>
      <c r="D24" s="4" t="s">
        <v>170</v>
      </c>
      <c r="E24" s="8" t="n">
        <f aca="false">LEN(D24)</f>
        <v>44</v>
      </c>
      <c r="F24" s="4" t="s">
        <v>171</v>
      </c>
      <c r="G24" s="8" t="n">
        <f aca="false">LEN(F24)</f>
        <v>59</v>
      </c>
      <c r="H24" s="4" t="s">
        <v>75</v>
      </c>
      <c r="I24" s="4" t="s">
        <v>172</v>
      </c>
      <c r="J24" s="4"/>
      <c r="K24" s="4"/>
      <c r="L24" s="4" t="s">
        <v>173</v>
      </c>
      <c r="M24" s="4" t="s">
        <v>78</v>
      </c>
      <c r="N24" s="4" t="s">
        <v>66</v>
      </c>
      <c r="O24" s="4" t="s">
        <v>79</v>
      </c>
    </row>
    <row r="25" customFormat="false" ht="15" hidden="false" customHeight="false" outlineLevel="0" collapsed="false">
      <c r="A25" s="4" t="n">
        <v>12867</v>
      </c>
      <c r="B25" s="4" t="s">
        <v>101</v>
      </c>
      <c r="C25" s="4" t="s">
        <v>174</v>
      </c>
      <c r="D25" s="4" t="s">
        <v>175</v>
      </c>
      <c r="E25" s="8" t="n">
        <f aca="false">LEN(D25)</f>
        <v>29</v>
      </c>
      <c r="F25" s="4" t="s">
        <v>176</v>
      </c>
      <c r="G25" s="8" t="n">
        <f aca="false">LEN(F25)</f>
        <v>44</v>
      </c>
      <c r="H25" s="4" t="s">
        <v>87</v>
      </c>
      <c r="I25" s="4" t="s">
        <v>177</v>
      </c>
      <c r="J25" s="4"/>
      <c r="K25" s="4"/>
      <c r="L25" s="4"/>
      <c r="M25" s="4" t="s">
        <v>107</v>
      </c>
      <c r="N25" s="4" t="s">
        <v>66</v>
      </c>
      <c r="O25" s="4" t="s">
        <v>67</v>
      </c>
    </row>
    <row r="26" customFormat="false" ht="15" hidden="false" customHeight="false" outlineLevel="0" collapsed="false">
      <c r="A26" s="4" t="n">
        <v>12882</v>
      </c>
      <c r="B26" s="4" t="s">
        <v>101</v>
      </c>
      <c r="C26" s="4" t="s">
        <v>178</v>
      </c>
      <c r="D26" s="4" t="s">
        <v>179</v>
      </c>
      <c r="E26" s="8" t="n">
        <f aca="false">LEN(D26)</f>
        <v>37</v>
      </c>
      <c r="F26" s="4" t="s">
        <v>180</v>
      </c>
      <c r="G26" s="8" t="n">
        <f aca="false">LEN(F26)</f>
        <v>52</v>
      </c>
      <c r="H26" s="4" t="s">
        <v>75</v>
      </c>
      <c r="I26" s="4" t="s">
        <v>181</v>
      </c>
      <c r="J26" s="4"/>
      <c r="K26" s="4"/>
      <c r="L26" s="4"/>
      <c r="M26" s="4" t="s">
        <v>107</v>
      </c>
      <c r="N26" s="4" t="s">
        <v>66</v>
      </c>
      <c r="O26" s="4" t="s">
        <v>79</v>
      </c>
    </row>
    <row r="27" customFormat="false" ht="15" hidden="false" customHeight="false" outlineLevel="0" collapsed="false">
      <c r="A27" s="4" t="n">
        <v>12902</v>
      </c>
      <c r="B27" s="4" t="s">
        <v>58</v>
      </c>
      <c r="C27" s="4" t="s">
        <v>182</v>
      </c>
      <c r="D27" s="4" t="s">
        <v>183</v>
      </c>
      <c r="E27" s="8" t="n">
        <f aca="false">LEN(D27)</f>
        <v>46</v>
      </c>
      <c r="F27" s="4" t="s">
        <v>183</v>
      </c>
      <c r="G27" s="8" t="n">
        <f aca="false">LEN(F27)</f>
        <v>46</v>
      </c>
      <c r="H27" s="4" t="s">
        <v>75</v>
      </c>
      <c r="I27" s="4" t="s">
        <v>184</v>
      </c>
      <c r="J27" s="4"/>
      <c r="K27" s="4"/>
      <c r="L27" s="4" t="s">
        <v>185</v>
      </c>
      <c r="M27" s="4" t="s">
        <v>78</v>
      </c>
      <c r="N27" s="4" t="s">
        <v>66</v>
      </c>
      <c r="O27" s="4" t="s">
        <v>79</v>
      </c>
    </row>
    <row r="28" customFormat="false" ht="23.85" hidden="false" customHeight="false" outlineLevel="0" collapsed="false">
      <c r="A28" s="4" t="n">
        <v>12913</v>
      </c>
      <c r="B28" s="4" t="s">
        <v>101</v>
      </c>
      <c r="C28" s="4" t="s">
        <v>186</v>
      </c>
      <c r="D28" s="4" t="s">
        <v>187</v>
      </c>
      <c r="E28" s="8" t="n">
        <f aca="false">LEN(D28)</f>
        <v>36</v>
      </c>
      <c r="F28" s="4" t="s">
        <v>188</v>
      </c>
      <c r="G28" s="8" t="n">
        <f aca="false">LEN(F28)</f>
        <v>51</v>
      </c>
      <c r="H28" s="4" t="s">
        <v>189</v>
      </c>
      <c r="I28" s="4" t="s">
        <v>190</v>
      </c>
      <c r="J28" s="4" t="s">
        <v>191</v>
      </c>
      <c r="K28" s="4"/>
      <c r="L28" s="4"/>
      <c r="M28" s="4" t="s">
        <v>107</v>
      </c>
      <c r="N28" s="4" t="s">
        <v>66</v>
      </c>
      <c r="O28" s="4" t="s">
        <v>79</v>
      </c>
    </row>
    <row r="29" customFormat="false" ht="23.85" hidden="false" customHeight="false" outlineLevel="0" collapsed="false">
      <c r="A29" s="4" t="n">
        <v>12992</v>
      </c>
      <c r="B29" s="4" t="s">
        <v>58</v>
      </c>
      <c r="C29" s="4" t="s">
        <v>192</v>
      </c>
      <c r="D29" s="4" t="s">
        <v>193</v>
      </c>
      <c r="E29" s="8" t="n">
        <f aca="false">LEN(D29)</f>
        <v>26</v>
      </c>
      <c r="F29" s="4" t="s">
        <v>194</v>
      </c>
      <c r="G29" s="8" t="n">
        <f aca="false">LEN(F29)</f>
        <v>41</v>
      </c>
      <c r="H29" s="4" t="s">
        <v>105</v>
      </c>
      <c r="I29" s="4" t="s">
        <v>195</v>
      </c>
      <c r="J29" s="4"/>
      <c r="K29" s="4"/>
      <c r="L29" s="4" t="s">
        <v>122</v>
      </c>
      <c r="M29" s="4" t="s">
        <v>78</v>
      </c>
      <c r="N29" s="4" t="s">
        <v>66</v>
      </c>
      <c r="O29" s="4" t="s">
        <v>79</v>
      </c>
    </row>
    <row r="30" customFormat="false" ht="15" hidden="false" customHeight="false" outlineLevel="0" collapsed="false">
      <c r="A30" s="4" t="n">
        <v>13016</v>
      </c>
      <c r="B30" s="4" t="s">
        <v>101</v>
      </c>
      <c r="C30" s="4" t="s">
        <v>196</v>
      </c>
      <c r="D30" s="4" t="s">
        <v>197</v>
      </c>
      <c r="E30" s="8" t="n">
        <f aca="false">LEN(D30)</f>
        <v>32</v>
      </c>
      <c r="F30" s="4" t="s">
        <v>198</v>
      </c>
      <c r="G30" s="8" t="n">
        <f aca="false">LEN(F30)</f>
        <v>47</v>
      </c>
      <c r="H30" s="4" t="s">
        <v>199</v>
      </c>
      <c r="I30" s="4" t="s">
        <v>200</v>
      </c>
      <c r="J30" s="4"/>
      <c r="K30" s="4"/>
      <c r="L30" s="4"/>
      <c r="M30" s="4" t="s">
        <v>107</v>
      </c>
      <c r="N30" s="4" t="s">
        <v>66</v>
      </c>
      <c r="O30" s="4" t="s">
        <v>79</v>
      </c>
    </row>
    <row r="31" customFormat="false" ht="23.85" hidden="false" customHeight="false" outlineLevel="0" collapsed="false">
      <c r="A31" s="4" t="n">
        <v>13035</v>
      </c>
      <c r="B31" s="4" t="s">
        <v>58</v>
      </c>
      <c r="C31" s="4" t="s">
        <v>201</v>
      </c>
      <c r="D31" s="4" t="s">
        <v>202</v>
      </c>
      <c r="E31" s="8" t="n">
        <f aca="false">LEN(D31)</f>
        <v>50</v>
      </c>
      <c r="F31" s="4" t="s">
        <v>202</v>
      </c>
      <c r="G31" s="8" t="n">
        <f aca="false">LEN(F31)</f>
        <v>50</v>
      </c>
      <c r="H31" s="4" t="s">
        <v>75</v>
      </c>
      <c r="I31" s="4" t="s">
        <v>203</v>
      </c>
      <c r="J31" s="4"/>
      <c r="K31" s="4"/>
      <c r="L31" s="4" t="s">
        <v>204</v>
      </c>
      <c r="M31" s="4" t="s">
        <v>78</v>
      </c>
      <c r="N31" s="4" t="s">
        <v>66</v>
      </c>
      <c r="O31" s="4" t="s">
        <v>79</v>
      </c>
    </row>
    <row r="32" customFormat="false" ht="15" hidden="false" customHeight="false" outlineLevel="0" collapsed="false">
      <c r="A32" s="4" t="n">
        <v>13708</v>
      </c>
      <c r="B32" s="4" t="s">
        <v>58</v>
      </c>
      <c r="C32" s="4" t="s">
        <v>205</v>
      </c>
      <c r="D32" s="4" t="s">
        <v>206</v>
      </c>
      <c r="E32" s="8" t="n">
        <f aca="false">LEN(D32)</f>
        <v>36</v>
      </c>
      <c r="F32" s="4" t="s">
        <v>207</v>
      </c>
      <c r="G32" s="8" t="n">
        <f aca="false">LEN(F32)</f>
        <v>51</v>
      </c>
      <c r="H32" s="4" t="s">
        <v>75</v>
      </c>
      <c r="I32" s="4" t="s">
        <v>76</v>
      </c>
      <c r="J32" s="4"/>
      <c r="K32" s="4"/>
      <c r="L32" s="4"/>
      <c r="M32" s="4" t="s">
        <v>78</v>
      </c>
      <c r="N32" s="4" t="s">
        <v>66</v>
      </c>
      <c r="O32" s="4" t="s">
        <v>79</v>
      </c>
    </row>
    <row r="33" customFormat="false" ht="15" hidden="false" customHeight="false" outlineLevel="0" collapsed="false">
      <c r="A33" s="4" t="n">
        <v>13868</v>
      </c>
      <c r="B33" s="4" t="s">
        <v>58</v>
      </c>
      <c r="C33" s="4" t="s">
        <v>208</v>
      </c>
      <c r="D33" s="4" t="s">
        <v>209</v>
      </c>
      <c r="E33" s="8" t="n">
        <f aca="false">LEN(D33)</f>
        <v>30</v>
      </c>
      <c r="F33" s="4" t="s">
        <v>210</v>
      </c>
      <c r="G33" s="8" t="n">
        <f aca="false">LEN(F33)</f>
        <v>45</v>
      </c>
      <c r="H33" s="4" t="s">
        <v>87</v>
      </c>
      <c r="I33" s="4" t="s">
        <v>211</v>
      </c>
      <c r="J33" s="4"/>
      <c r="K33" s="4"/>
      <c r="L33" s="4" t="s">
        <v>116</v>
      </c>
      <c r="M33" s="4" t="s">
        <v>78</v>
      </c>
      <c r="N33" s="4" t="s">
        <v>66</v>
      </c>
      <c r="O33" s="4" t="s">
        <v>79</v>
      </c>
    </row>
    <row r="34" customFormat="false" ht="15" hidden="false" customHeight="false" outlineLevel="0" collapsed="false">
      <c r="A34" s="4" t="n">
        <v>13873</v>
      </c>
      <c r="B34" s="4" t="s">
        <v>58</v>
      </c>
      <c r="C34" s="4" t="s">
        <v>212</v>
      </c>
      <c r="D34" s="4" t="s">
        <v>213</v>
      </c>
      <c r="E34" s="8" t="n">
        <f aca="false">LEN(D34)</f>
        <v>33</v>
      </c>
      <c r="F34" s="4" t="s">
        <v>214</v>
      </c>
      <c r="G34" s="8" t="n">
        <f aca="false">LEN(F34)</f>
        <v>48</v>
      </c>
      <c r="H34" s="4" t="s">
        <v>87</v>
      </c>
      <c r="I34" s="4" t="s">
        <v>63</v>
      </c>
      <c r="J34" s="4"/>
      <c r="K34" s="4"/>
      <c r="L34" s="4"/>
      <c r="M34" s="4" t="s">
        <v>78</v>
      </c>
      <c r="N34" s="4" t="s">
        <v>66</v>
      </c>
      <c r="O34" s="4" t="s">
        <v>79</v>
      </c>
    </row>
    <row r="35" customFormat="false" ht="23.85" hidden="false" customHeight="false" outlineLevel="0" collapsed="false">
      <c r="A35" s="4" t="n">
        <v>13972</v>
      </c>
      <c r="B35" s="4" t="s">
        <v>58</v>
      </c>
      <c r="C35" s="4" t="s">
        <v>215</v>
      </c>
      <c r="D35" s="4" t="s">
        <v>216</v>
      </c>
      <c r="E35" s="8" t="n">
        <f aca="false">LEN(D35)</f>
        <v>42</v>
      </c>
      <c r="F35" s="4" t="s">
        <v>217</v>
      </c>
      <c r="G35" s="8" t="n">
        <f aca="false">LEN(F35)</f>
        <v>57</v>
      </c>
      <c r="H35" s="4" t="s">
        <v>75</v>
      </c>
      <c r="I35" s="4" t="s">
        <v>63</v>
      </c>
      <c r="J35" s="4" t="s">
        <v>218</v>
      </c>
      <c r="K35" s="4"/>
      <c r="L35" s="4"/>
      <c r="M35" s="4" t="s">
        <v>78</v>
      </c>
      <c r="N35" s="4" t="s">
        <v>66</v>
      </c>
      <c r="O35" s="4" t="s">
        <v>79</v>
      </c>
    </row>
    <row r="36" customFormat="false" ht="23.85" hidden="false" customHeight="false" outlineLevel="0" collapsed="false">
      <c r="A36" s="4" t="n">
        <v>13985</v>
      </c>
      <c r="B36" s="4" t="s">
        <v>101</v>
      </c>
      <c r="C36" s="4" t="s">
        <v>219</v>
      </c>
      <c r="D36" s="4" t="s">
        <v>220</v>
      </c>
      <c r="E36" s="8" t="n">
        <f aca="false">LEN(D36)</f>
        <v>27</v>
      </c>
      <c r="F36" s="4" t="s">
        <v>221</v>
      </c>
      <c r="G36" s="8" t="n">
        <f aca="false">LEN(F36)</f>
        <v>42</v>
      </c>
      <c r="H36" s="4" t="s">
        <v>87</v>
      </c>
      <c r="I36" s="4" t="s">
        <v>222</v>
      </c>
      <c r="J36" s="4" t="s">
        <v>223</v>
      </c>
      <c r="K36" s="4"/>
      <c r="L36" s="4"/>
      <c r="M36" s="4" t="s">
        <v>107</v>
      </c>
      <c r="N36" s="4" t="s">
        <v>66</v>
      </c>
      <c r="O36" s="4" t="s">
        <v>79</v>
      </c>
    </row>
    <row r="37" customFormat="false" ht="15" hidden="false" customHeight="false" outlineLevel="0" collapsed="false">
      <c r="A37" s="4" t="n">
        <v>14057</v>
      </c>
      <c r="B37" s="4" t="s">
        <v>101</v>
      </c>
      <c r="C37" s="4" t="s">
        <v>224</v>
      </c>
      <c r="D37" s="4" t="s">
        <v>225</v>
      </c>
      <c r="E37" s="8" t="n">
        <f aca="false">LEN(D37)</f>
        <v>32</v>
      </c>
      <c r="F37" s="4" t="s">
        <v>226</v>
      </c>
      <c r="G37" s="8" t="n">
        <f aca="false">LEN(F37)</f>
        <v>47</v>
      </c>
      <c r="H37" s="4" t="s">
        <v>87</v>
      </c>
      <c r="I37" s="4" t="s">
        <v>88</v>
      </c>
      <c r="J37" s="4"/>
      <c r="K37" s="4"/>
      <c r="L37" s="4"/>
      <c r="M37" s="4" t="s">
        <v>107</v>
      </c>
      <c r="N37" s="4" t="s">
        <v>156</v>
      </c>
      <c r="O37" s="4" t="s">
        <v>157</v>
      </c>
    </row>
    <row r="38" customFormat="false" ht="15" hidden="false" customHeight="false" outlineLevel="0" collapsed="false">
      <c r="A38" s="4" t="n">
        <v>14215</v>
      </c>
      <c r="B38" s="4" t="s">
        <v>101</v>
      </c>
      <c r="C38" s="4" t="s">
        <v>227</v>
      </c>
      <c r="D38" s="4" t="s">
        <v>228</v>
      </c>
      <c r="E38" s="8" t="n">
        <f aca="false">LEN(D38)</f>
        <v>21</v>
      </c>
      <c r="F38" s="4" t="s">
        <v>229</v>
      </c>
      <c r="G38" s="8" t="n">
        <f aca="false">LEN(F38)</f>
        <v>36</v>
      </c>
      <c r="H38" s="4" t="s">
        <v>87</v>
      </c>
      <c r="I38" s="4" t="s">
        <v>230</v>
      </c>
      <c r="J38" s="4"/>
      <c r="K38" s="4"/>
      <c r="L38" s="4" t="s">
        <v>77</v>
      </c>
      <c r="M38" s="4" t="s">
        <v>107</v>
      </c>
      <c r="N38" s="4" t="s">
        <v>66</v>
      </c>
      <c r="O38" s="4" t="s">
        <v>67</v>
      </c>
    </row>
    <row r="39" customFormat="false" ht="23.85" hidden="false" customHeight="false" outlineLevel="0" collapsed="false">
      <c r="A39" s="4" t="n">
        <v>14309</v>
      </c>
      <c r="B39" s="4" t="s">
        <v>101</v>
      </c>
      <c r="C39" s="4" t="s">
        <v>231</v>
      </c>
      <c r="D39" s="4" t="s">
        <v>232</v>
      </c>
      <c r="E39" s="8" t="n">
        <f aca="false">LEN(D39)</f>
        <v>27</v>
      </c>
      <c r="F39" s="4" t="s">
        <v>233</v>
      </c>
      <c r="G39" s="8" t="n">
        <f aca="false">LEN(F39)</f>
        <v>42</v>
      </c>
      <c r="H39" s="4" t="s">
        <v>87</v>
      </c>
      <c r="I39" s="4" t="s">
        <v>131</v>
      </c>
      <c r="J39" s="4"/>
      <c r="K39" s="4"/>
      <c r="L39" s="4" t="s">
        <v>234</v>
      </c>
      <c r="M39" s="4" t="s">
        <v>107</v>
      </c>
      <c r="N39" s="4" t="s">
        <v>66</v>
      </c>
      <c r="O39" s="4" t="s">
        <v>79</v>
      </c>
    </row>
    <row r="40" customFormat="false" ht="23.85" hidden="false" customHeight="false" outlineLevel="0" collapsed="false">
      <c r="A40" s="4" t="n">
        <v>14341</v>
      </c>
      <c r="B40" s="4" t="s">
        <v>101</v>
      </c>
      <c r="C40" s="4" t="s">
        <v>235</v>
      </c>
      <c r="D40" s="4" t="s">
        <v>236</v>
      </c>
      <c r="E40" s="8" t="n">
        <f aca="false">LEN(D40)</f>
        <v>36</v>
      </c>
      <c r="F40" s="4" t="s">
        <v>237</v>
      </c>
      <c r="G40" s="8" t="n">
        <f aca="false">LEN(F40)</f>
        <v>51</v>
      </c>
      <c r="H40" s="4" t="s">
        <v>105</v>
      </c>
      <c r="I40" s="4" t="s">
        <v>131</v>
      </c>
      <c r="J40" s="4"/>
      <c r="K40" s="4"/>
      <c r="L40" s="4"/>
      <c r="M40" s="4" t="s">
        <v>238</v>
      </c>
      <c r="N40" s="4" t="s">
        <v>66</v>
      </c>
      <c r="O40" s="4" t="s">
        <v>79</v>
      </c>
    </row>
    <row r="41" customFormat="false" ht="15" hidden="false" customHeight="false" outlineLevel="0" collapsed="false">
      <c r="A41" s="4" t="n">
        <v>14371</v>
      </c>
      <c r="B41" s="4" t="s">
        <v>101</v>
      </c>
      <c r="C41" s="4" t="s">
        <v>239</v>
      </c>
      <c r="D41" s="4" t="s">
        <v>240</v>
      </c>
      <c r="E41" s="8" t="n">
        <f aca="false">LEN(D41)</f>
        <v>37</v>
      </c>
      <c r="F41" s="4" t="s">
        <v>241</v>
      </c>
      <c r="G41" s="8" t="n">
        <f aca="false">LEN(F41)</f>
        <v>52</v>
      </c>
      <c r="H41" s="4" t="s">
        <v>242</v>
      </c>
      <c r="I41" s="4" t="s">
        <v>181</v>
      </c>
      <c r="J41" s="4"/>
      <c r="K41" s="4"/>
      <c r="L41" s="4"/>
      <c r="M41" s="4" t="s">
        <v>107</v>
      </c>
      <c r="N41" s="4" t="s">
        <v>66</v>
      </c>
      <c r="O41" s="4" t="s">
        <v>79</v>
      </c>
    </row>
    <row r="42" customFormat="false" ht="23.85" hidden="false" customHeight="false" outlineLevel="0" collapsed="false">
      <c r="A42" s="4" t="n">
        <v>14486</v>
      </c>
      <c r="B42" s="4" t="s">
        <v>101</v>
      </c>
      <c r="C42" s="4" t="s">
        <v>243</v>
      </c>
      <c r="D42" s="4" t="s">
        <v>244</v>
      </c>
      <c r="E42" s="8" t="n">
        <f aca="false">LEN(D42)</f>
        <v>16</v>
      </c>
      <c r="F42" s="4" t="s">
        <v>245</v>
      </c>
      <c r="G42" s="8" t="n">
        <f aca="false">LEN(F42)</f>
        <v>31</v>
      </c>
      <c r="H42" s="4" t="s">
        <v>246</v>
      </c>
      <c r="I42" s="4" t="s">
        <v>131</v>
      </c>
      <c r="J42" s="4"/>
      <c r="K42" s="4"/>
      <c r="L42" s="4"/>
      <c r="M42" s="4" t="s">
        <v>107</v>
      </c>
      <c r="N42" s="4" t="s">
        <v>66</v>
      </c>
      <c r="O42" s="4" t="s">
        <v>79</v>
      </c>
    </row>
    <row r="43" customFormat="false" ht="23.85" hidden="false" customHeight="false" outlineLevel="0" collapsed="false">
      <c r="A43" s="4" t="n">
        <v>14500</v>
      </c>
      <c r="B43" s="4" t="s">
        <v>101</v>
      </c>
      <c r="C43" s="4" t="s">
        <v>247</v>
      </c>
      <c r="D43" s="4" t="s">
        <v>248</v>
      </c>
      <c r="E43" s="8" t="n">
        <f aca="false">LEN(D43)</f>
        <v>44</v>
      </c>
      <c r="F43" s="4" t="s">
        <v>249</v>
      </c>
      <c r="G43" s="8" t="n">
        <f aca="false">LEN(F43)</f>
        <v>59</v>
      </c>
      <c r="H43" s="4" t="s">
        <v>250</v>
      </c>
      <c r="I43" s="4" t="s">
        <v>131</v>
      </c>
      <c r="J43" s="4"/>
      <c r="K43" s="4"/>
      <c r="L43" s="4" t="s">
        <v>116</v>
      </c>
      <c r="M43" s="4" t="s">
        <v>107</v>
      </c>
      <c r="N43" s="4" t="s">
        <v>66</v>
      </c>
      <c r="O43" s="4" t="s">
        <v>79</v>
      </c>
    </row>
    <row r="44" customFormat="false" ht="15" hidden="false" customHeight="false" outlineLevel="0" collapsed="false">
      <c r="A44" s="4" t="n">
        <v>14520</v>
      </c>
      <c r="B44" s="4" t="s">
        <v>101</v>
      </c>
      <c r="C44" s="4" t="s">
        <v>251</v>
      </c>
      <c r="D44" s="4" t="s">
        <v>252</v>
      </c>
      <c r="E44" s="8" t="n">
        <f aca="false">LEN(D44)</f>
        <v>23</v>
      </c>
      <c r="F44" s="4" t="s">
        <v>253</v>
      </c>
      <c r="G44" s="8" t="n">
        <f aca="false">LEN(F44)</f>
        <v>38</v>
      </c>
      <c r="H44" s="4" t="s">
        <v>246</v>
      </c>
      <c r="I44" s="4" t="s">
        <v>88</v>
      </c>
      <c r="J44" s="4"/>
      <c r="K44" s="4"/>
      <c r="L44" s="4"/>
      <c r="M44" s="4" t="s">
        <v>107</v>
      </c>
      <c r="N44" s="4" t="s">
        <v>156</v>
      </c>
      <c r="O44" s="4" t="s">
        <v>157</v>
      </c>
    </row>
    <row r="45" customFormat="false" ht="15" hidden="false" customHeight="false" outlineLevel="0" collapsed="false">
      <c r="A45" s="4" t="n">
        <v>14597</v>
      </c>
      <c r="B45" s="4" t="s">
        <v>58</v>
      </c>
      <c r="C45" s="4" t="s">
        <v>254</v>
      </c>
      <c r="D45" s="4" t="s">
        <v>255</v>
      </c>
      <c r="E45" s="8" t="n">
        <f aca="false">LEN(D45)</f>
        <v>38</v>
      </c>
      <c r="F45" s="4" t="s">
        <v>256</v>
      </c>
      <c r="G45" s="8" t="n">
        <f aca="false">LEN(F45)</f>
        <v>53</v>
      </c>
      <c r="H45" s="4" t="s">
        <v>87</v>
      </c>
      <c r="I45" s="4" t="s">
        <v>144</v>
      </c>
      <c r="J45" s="4"/>
      <c r="K45" s="4"/>
      <c r="L45" s="4"/>
      <c r="M45" s="4" t="s">
        <v>78</v>
      </c>
      <c r="N45" s="4" t="s">
        <v>66</v>
      </c>
      <c r="O45" s="4" t="s">
        <v>79</v>
      </c>
    </row>
    <row r="46" customFormat="false" ht="23.85" hidden="false" customHeight="false" outlineLevel="0" collapsed="false">
      <c r="A46" s="4" t="n">
        <v>15217</v>
      </c>
      <c r="B46" s="4" t="s">
        <v>101</v>
      </c>
      <c r="C46" s="4" t="s">
        <v>257</v>
      </c>
      <c r="D46" s="4" t="s">
        <v>258</v>
      </c>
      <c r="E46" s="8" t="n">
        <f aca="false">LEN(D46)</f>
        <v>52</v>
      </c>
      <c r="F46" s="4" t="s">
        <v>258</v>
      </c>
      <c r="G46" s="8" t="n">
        <f aca="false">LEN(F46)</f>
        <v>52</v>
      </c>
      <c r="H46" s="4" t="s">
        <v>105</v>
      </c>
      <c r="I46" s="4" t="s">
        <v>131</v>
      </c>
      <c r="J46" s="4"/>
      <c r="K46" s="4"/>
      <c r="L46" s="4"/>
      <c r="M46" s="4" t="s">
        <v>259</v>
      </c>
      <c r="N46" s="4" t="s">
        <v>66</v>
      </c>
      <c r="O46" s="4" t="s">
        <v>79</v>
      </c>
    </row>
    <row r="47" customFormat="false" ht="23.85" hidden="false" customHeight="false" outlineLevel="0" collapsed="false">
      <c r="A47" s="4" t="n">
        <v>15357</v>
      </c>
      <c r="B47" s="4" t="s">
        <v>58</v>
      </c>
      <c r="C47" s="4" t="s">
        <v>260</v>
      </c>
      <c r="D47" s="4" t="s">
        <v>261</v>
      </c>
      <c r="E47" s="8" t="n">
        <f aca="false">LEN(D47)</f>
        <v>13</v>
      </c>
      <c r="F47" s="4" t="s">
        <v>262</v>
      </c>
      <c r="G47" s="8" t="n">
        <f aca="false">LEN(F47)</f>
        <v>28</v>
      </c>
      <c r="H47" s="4" t="s">
        <v>263</v>
      </c>
      <c r="I47" s="4" t="s">
        <v>264</v>
      </c>
      <c r="J47" s="4" t="s">
        <v>265</v>
      </c>
      <c r="K47" s="4"/>
      <c r="L47" s="4" t="s">
        <v>77</v>
      </c>
      <c r="M47" s="4" t="s">
        <v>78</v>
      </c>
      <c r="N47" s="4" t="s">
        <v>66</v>
      </c>
      <c r="O47" s="4" t="s">
        <v>266</v>
      </c>
    </row>
    <row r="48" customFormat="false" ht="15" hidden="false" customHeight="false" outlineLevel="0" collapsed="false">
      <c r="A48" s="4" t="n">
        <v>15512</v>
      </c>
      <c r="B48" s="4" t="s">
        <v>101</v>
      </c>
      <c r="C48" s="4" t="s">
        <v>267</v>
      </c>
      <c r="D48" s="4" t="s">
        <v>268</v>
      </c>
      <c r="E48" s="8" t="n">
        <f aca="false">LEN(D48)</f>
        <v>43</v>
      </c>
      <c r="F48" s="4" t="s">
        <v>269</v>
      </c>
      <c r="G48" s="8" t="n">
        <f aca="false">LEN(F48)</f>
        <v>58</v>
      </c>
      <c r="H48" s="4" t="s">
        <v>75</v>
      </c>
      <c r="I48" s="4" t="s">
        <v>181</v>
      </c>
      <c r="J48" s="4"/>
      <c r="K48" s="4"/>
      <c r="L48" s="4" t="s">
        <v>89</v>
      </c>
      <c r="M48" s="4" t="s">
        <v>107</v>
      </c>
      <c r="N48" s="4" t="s">
        <v>66</v>
      </c>
      <c r="O48" s="4" t="s">
        <v>270</v>
      </c>
    </row>
    <row r="49" customFormat="false" ht="23.85" hidden="false" customHeight="false" outlineLevel="0" collapsed="false">
      <c r="A49" s="4" t="n">
        <v>15582</v>
      </c>
      <c r="B49" s="4" t="s">
        <v>58</v>
      </c>
      <c r="C49" s="4" t="s">
        <v>271</v>
      </c>
      <c r="D49" s="4" t="s">
        <v>272</v>
      </c>
      <c r="E49" s="8" t="n">
        <f aca="false">LEN(D49)</f>
        <v>49</v>
      </c>
      <c r="F49" s="4" t="s">
        <v>272</v>
      </c>
      <c r="G49" s="8" t="n">
        <f aca="false">LEN(F49)</f>
        <v>49</v>
      </c>
      <c r="H49" s="4" t="s">
        <v>105</v>
      </c>
      <c r="I49" s="4" t="s">
        <v>76</v>
      </c>
      <c r="J49" s="4"/>
      <c r="K49" s="4"/>
      <c r="L49" s="4" t="s">
        <v>273</v>
      </c>
      <c r="M49" s="4" t="s">
        <v>78</v>
      </c>
      <c r="N49" s="4" t="s">
        <v>66</v>
      </c>
      <c r="O49" s="4" t="s">
        <v>274</v>
      </c>
    </row>
    <row r="50" customFormat="false" ht="35.05" hidden="false" customHeight="false" outlineLevel="0" collapsed="false">
      <c r="A50" s="4" t="n">
        <v>18240</v>
      </c>
      <c r="B50" s="4" t="s">
        <v>58</v>
      </c>
      <c r="C50" s="4" t="s">
        <v>275</v>
      </c>
      <c r="D50" s="4" t="s">
        <v>276</v>
      </c>
      <c r="E50" s="8" t="n">
        <f aca="false">LEN(D50)</f>
        <v>31</v>
      </c>
      <c r="F50" s="4" t="s">
        <v>277</v>
      </c>
      <c r="G50" s="8" t="n">
        <f aca="false">LEN(F50)</f>
        <v>46</v>
      </c>
      <c r="H50" s="4" t="s">
        <v>278</v>
      </c>
      <c r="I50" s="4" t="s">
        <v>172</v>
      </c>
      <c r="J50" s="4"/>
      <c r="K50" s="4" t="s">
        <v>279</v>
      </c>
      <c r="L50" s="4" t="s">
        <v>173</v>
      </c>
      <c r="M50" s="4" t="s">
        <v>78</v>
      </c>
      <c r="N50" s="4" t="s">
        <v>66</v>
      </c>
      <c r="O50" s="4" t="s">
        <v>280</v>
      </c>
    </row>
    <row r="51" customFormat="false" ht="23.85" hidden="false" customHeight="false" outlineLevel="0" collapsed="false">
      <c r="A51" s="4" t="n">
        <v>18593</v>
      </c>
      <c r="B51" s="4" t="s">
        <v>58</v>
      </c>
      <c r="C51" s="4" t="s">
        <v>281</v>
      </c>
      <c r="D51" s="4" t="s">
        <v>282</v>
      </c>
      <c r="E51" s="8" t="n">
        <f aca="false">LEN(D51)</f>
        <v>45</v>
      </c>
      <c r="F51" s="4" t="s">
        <v>283</v>
      </c>
      <c r="G51" s="8" t="n">
        <f aca="false">LEN(F51)</f>
        <v>60</v>
      </c>
      <c r="H51" s="4" t="s">
        <v>105</v>
      </c>
      <c r="I51" s="4" t="s">
        <v>121</v>
      </c>
      <c r="J51" s="4"/>
      <c r="K51" s="4"/>
      <c r="L51" s="4"/>
      <c r="M51" s="4" t="s">
        <v>78</v>
      </c>
      <c r="N51" s="4" t="s">
        <v>66</v>
      </c>
      <c r="O51" s="4" t="s">
        <v>137</v>
      </c>
    </row>
    <row r="52" customFormat="false" ht="23.85" hidden="false" customHeight="false" outlineLevel="0" collapsed="false">
      <c r="A52" s="4" t="n">
        <v>18598</v>
      </c>
      <c r="B52" s="4" t="s">
        <v>58</v>
      </c>
      <c r="C52" s="4" t="s">
        <v>284</v>
      </c>
      <c r="D52" s="4" t="s">
        <v>285</v>
      </c>
      <c r="E52" s="8" t="n">
        <f aca="false">LEN(D52)</f>
        <v>28</v>
      </c>
      <c r="F52" s="4" t="s">
        <v>286</v>
      </c>
      <c r="G52" s="8" t="n">
        <f aca="false">LEN(F52)</f>
        <v>43</v>
      </c>
      <c r="H52" s="4" t="s">
        <v>87</v>
      </c>
      <c r="I52" s="4" t="s">
        <v>82</v>
      </c>
      <c r="J52" s="4"/>
      <c r="K52" s="4" t="s">
        <v>279</v>
      </c>
      <c r="L52" s="4" t="s">
        <v>287</v>
      </c>
      <c r="M52" s="4" t="s">
        <v>78</v>
      </c>
      <c r="N52" s="4" t="s">
        <v>66</v>
      </c>
      <c r="O52" s="4" t="s">
        <v>123</v>
      </c>
    </row>
    <row r="53" customFormat="false" ht="15" hidden="false" customHeight="false" outlineLevel="0" collapsed="false">
      <c r="A53" s="4" t="n">
        <v>18720</v>
      </c>
      <c r="B53" s="4" t="s">
        <v>58</v>
      </c>
      <c r="C53" s="4" t="s">
        <v>288</v>
      </c>
      <c r="D53" s="4" t="s">
        <v>289</v>
      </c>
      <c r="E53" s="8" t="n">
        <f aca="false">LEN(D53)</f>
        <v>40</v>
      </c>
      <c r="F53" s="4" t="s">
        <v>290</v>
      </c>
      <c r="G53" s="8" t="n">
        <f aca="false">LEN(F53)</f>
        <v>55</v>
      </c>
      <c r="H53" s="4" t="s">
        <v>75</v>
      </c>
      <c r="I53" s="4" t="s">
        <v>291</v>
      </c>
      <c r="J53" s="4" t="s">
        <v>292</v>
      </c>
      <c r="K53" s="4" t="s">
        <v>293</v>
      </c>
      <c r="L53" s="4" t="s">
        <v>294</v>
      </c>
      <c r="M53" s="4" t="s">
        <v>78</v>
      </c>
      <c r="N53" s="4" t="s">
        <v>66</v>
      </c>
      <c r="O53" s="4" t="s">
        <v>295</v>
      </c>
    </row>
    <row r="54" customFormat="false" ht="35.05" hidden="false" customHeight="false" outlineLevel="0" collapsed="false">
      <c r="A54" s="4" t="n">
        <v>19143</v>
      </c>
      <c r="B54" s="4" t="s">
        <v>58</v>
      </c>
      <c r="C54" s="4" t="s">
        <v>296</v>
      </c>
      <c r="D54" s="4" t="s">
        <v>297</v>
      </c>
      <c r="E54" s="8" t="n">
        <f aca="false">LEN(D54)</f>
        <v>42</v>
      </c>
      <c r="F54" s="4" t="s">
        <v>298</v>
      </c>
      <c r="G54" s="8" t="n">
        <f aca="false">LEN(F54)</f>
        <v>57</v>
      </c>
      <c r="H54" s="4" t="s">
        <v>87</v>
      </c>
      <c r="I54" s="4" t="s">
        <v>299</v>
      </c>
      <c r="J54" s="4"/>
      <c r="K54" s="4"/>
      <c r="L54" s="4" t="s">
        <v>300</v>
      </c>
      <c r="M54" s="4" t="s">
        <v>78</v>
      </c>
      <c r="N54" s="4" t="s">
        <v>66</v>
      </c>
      <c r="O54" s="4" t="s">
        <v>295</v>
      </c>
    </row>
    <row r="55" customFormat="false" ht="23.85" hidden="false" customHeight="false" outlineLevel="0" collapsed="false">
      <c r="A55" s="4" t="n">
        <v>19174</v>
      </c>
      <c r="B55" s="4" t="s">
        <v>58</v>
      </c>
      <c r="C55" s="4" t="s">
        <v>301</v>
      </c>
      <c r="D55" s="4" t="s">
        <v>302</v>
      </c>
      <c r="E55" s="8" t="n">
        <f aca="false">LEN(D55)</f>
        <v>46</v>
      </c>
      <c r="F55" s="4" t="s">
        <v>302</v>
      </c>
      <c r="G55" s="8" t="n">
        <f aca="false">LEN(F55)</f>
        <v>46</v>
      </c>
      <c r="H55" s="4" t="s">
        <v>75</v>
      </c>
      <c r="I55" s="4" t="s">
        <v>76</v>
      </c>
      <c r="J55" s="4"/>
      <c r="K55" s="4"/>
      <c r="L55" s="4" t="s">
        <v>185</v>
      </c>
      <c r="M55" s="4" t="s">
        <v>78</v>
      </c>
      <c r="N55" s="4" t="s">
        <v>66</v>
      </c>
      <c r="O55" s="4" t="s">
        <v>123</v>
      </c>
    </row>
    <row r="56" customFormat="false" ht="23.85" hidden="false" customHeight="false" outlineLevel="0" collapsed="false">
      <c r="A56" s="4" t="n">
        <v>19180</v>
      </c>
      <c r="B56" s="4" t="s">
        <v>58</v>
      </c>
      <c r="C56" s="4" t="s">
        <v>303</v>
      </c>
      <c r="D56" s="4" t="s">
        <v>304</v>
      </c>
      <c r="E56" s="8" t="n">
        <f aca="false">LEN(D56)</f>
        <v>34</v>
      </c>
      <c r="F56" s="4" t="s">
        <v>305</v>
      </c>
      <c r="G56" s="8" t="n">
        <f aca="false">LEN(F56)</f>
        <v>49</v>
      </c>
      <c r="H56" s="4" t="s">
        <v>306</v>
      </c>
      <c r="I56" s="4" t="s">
        <v>307</v>
      </c>
      <c r="J56" s="4" t="s">
        <v>308</v>
      </c>
      <c r="K56" s="4"/>
      <c r="L56" s="4"/>
      <c r="M56" s="4" t="s">
        <v>78</v>
      </c>
      <c r="N56" s="4" t="s">
        <v>66</v>
      </c>
      <c r="O56" s="4" t="s">
        <v>123</v>
      </c>
    </row>
    <row r="57" customFormat="false" ht="23.85" hidden="false" customHeight="false" outlineLevel="0" collapsed="false">
      <c r="A57" s="4" t="n">
        <v>19220</v>
      </c>
      <c r="B57" s="4" t="s">
        <v>101</v>
      </c>
      <c r="C57" s="4" t="s">
        <v>309</v>
      </c>
      <c r="D57" s="4" t="s">
        <v>310</v>
      </c>
      <c r="E57" s="8" t="n">
        <f aca="false">LEN(D57)</f>
        <v>23</v>
      </c>
      <c r="F57" s="4" t="s">
        <v>311</v>
      </c>
      <c r="G57" s="8" t="n">
        <f aca="false">LEN(F57)</f>
        <v>38</v>
      </c>
      <c r="H57" s="4" t="s">
        <v>312</v>
      </c>
      <c r="I57" s="4" t="s">
        <v>313</v>
      </c>
      <c r="J57" s="4" t="s">
        <v>308</v>
      </c>
      <c r="K57" s="4"/>
      <c r="L57" s="4" t="s">
        <v>314</v>
      </c>
      <c r="M57" s="4" t="s">
        <v>107</v>
      </c>
      <c r="N57" s="4" t="s">
        <v>66</v>
      </c>
      <c r="O57" s="4" t="s">
        <v>123</v>
      </c>
    </row>
    <row r="58" customFormat="false" ht="35.05" hidden="false" customHeight="false" outlineLevel="0" collapsed="false">
      <c r="A58" s="4" t="n">
        <v>20141</v>
      </c>
      <c r="B58" s="4" t="s">
        <v>58</v>
      </c>
      <c r="C58" s="4" t="s">
        <v>315</v>
      </c>
      <c r="D58" s="4" t="s">
        <v>316</v>
      </c>
      <c r="E58" s="8" t="n">
        <f aca="false">LEN(D58)</f>
        <v>36</v>
      </c>
      <c r="F58" s="4" t="s">
        <v>317</v>
      </c>
      <c r="G58" s="8" t="n">
        <f aca="false">LEN(F58)</f>
        <v>51</v>
      </c>
      <c r="H58" s="4" t="s">
        <v>75</v>
      </c>
      <c r="I58" s="4" t="s">
        <v>318</v>
      </c>
      <c r="J58" s="4"/>
      <c r="K58" s="4"/>
      <c r="L58" s="4"/>
      <c r="M58" s="4" t="s">
        <v>65</v>
      </c>
      <c r="N58" s="4" t="s">
        <v>66</v>
      </c>
      <c r="O58" s="4" t="s">
        <v>319</v>
      </c>
    </row>
    <row r="59" customFormat="false" ht="35.05" hidden="false" customHeight="false" outlineLevel="0" collapsed="false">
      <c r="A59" s="4" t="n">
        <v>20145</v>
      </c>
      <c r="B59" s="4" t="s">
        <v>58</v>
      </c>
      <c r="C59" s="4" t="s">
        <v>320</v>
      </c>
      <c r="D59" s="4" t="s">
        <v>321</v>
      </c>
      <c r="E59" s="8" t="n">
        <f aca="false">LEN(D59)</f>
        <v>36</v>
      </c>
      <c r="F59" s="4" t="s">
        <v>322</v>
      </c>
      <c r="G59" s="8" t="n">
        <f aca="false">LEN(F59)</f>
        <v>51</v>
      </c>
      <c r="H59" s="4" t="s">
        <v>75</v>
      </c>
      <c r="I59" s="4" t="s">
        <v>318</v>
      </c>
      <c r="J59" s="4"/>
      <c r="K59" s="4"/>
      <c r="L59" s="4"/>
      <c r="M59" s="4" t="s">
        <v>78</v>
      </c>
      <c r="N59" s="4" t="s">
        <v>66</v>
      </c>
      <c r="O59" s="4" t="s">
        <v>323</v>
      </c>
    </row>
    <row r="60" customFormat="false" ht="15" hidden="false" customHeight="false" outlineLevel="0" collapsed="false">
      <c r="A60" s="4" t="n">
        <v>20150</v>
      </c>
      <c r="B60" s="4" t="s">
        <v>58</v>
      </c>
      <c r="C60" s="4" t="s">
        <v>324</v>
      </c>
      <c r="D60" s="4" t="s">
        <v>325</v>
      </c>
      <c r="E60" s="8" t="n">
        <f aca="false">LEN(D60)</f>
        <v>20</v>
      </c>
      <c r="F60" s="4" t="s">
        <v>326</v>
      </c>
      <c r="G60" s="8" t="n">
        <f aca="false">LEN(F60)</f>
        <v>35</v>
      </c>
      <c r="H60" s="4" t="s">
        <v>327</v>
      </c>
      <c r="I60" s="4" t="s">
        <v>328</v>
      </c>
      <c r="J60" s="4"/>
      <c r="K60" s="4"/>
      <c r="L60" s="4" t="s">
        <v>329</v>
      </c>
      <c r="M60" s="4" t="s">
        <v>65</v>
      </c>
      <c r="N60" s="4" t="s">
        <v>66</v>
      </c>
      <c r="O60" s="4" t="s">
        <v>137</v>
      </c>
    </row>
    <row r="61" customFormat="false" ht="15" hidden="false" customHeight="false" outlineLevel="0" collapsed="false">
      <c r="A61" s="4" t="n">
        <v>20183</v>
      </c>
      <c r="B61" s="4" t="s">
        <v>58</v>
      </c>
      <c r="C61" s="4" t="s">
        <v>330</v>
      </c>
      <c r="D61" s="4" t="s">
        <v>331</v>
      </c>
      <c r="E61" s="8" t="n">
        <f aca="false">LEN(D61)</f>
        <v>41</v>
      </c>
      <c r="F61" s="4" t="s">
        <v>332</v>
      </c>
      <c r="G61" s="8" t="n">
        <f aca="false">LEN(F61)</f>
        <v>56</v>
      </c>
      <c r="H61" s="4" t="s">
        <v>75</v>
      </c>
      <c r="I61" s="4" t="s">
        <v>76</v>
      </c>
      <c r="J61" s="4"/>
      <c r="K61" s="4"/>
      <c r="L61" s="4" t="s">
        <v>77</v>
      </c>
      <c r="M61" s="4" t="s">
        <v>78</v>
      </c>
      <c r="N61" s="4" t="s">
        <v>66</v>
      </c>
      <c r="O61" s="4" t="s">
        <v>137</v>
      </c>
    </row>
    <row r="62" customFormat="false" ht="23.85" hidden="false" customHeight="false" outlineLevel="0" collapsed="false">
      <c r="A62" s="4" t="n">
        <v>20198</v>
      </c>
      <c r="B62" s="4" t="s">
        <v>101</v>
      </c>
      <c r="C62" s="4" t="s">
        <v>333</v>
      </c>
      <c r="D62" s="4" t="s">
        <v>334</v>
      </c>
      <c r="E62" s="8" t="n">
        <f aca="false">LEN(D62)</f>
        <v>54</v>
      </c>
      <c r="F62" s="4" t="s">
        <v>334</v>
      </c>
      <c r="G62" s="8" t="n">
        <f aca="false">LEN(F62)</f>
        <v>54</v>
      </c>
      <c r="H62" s="4" t="s">
        <v>105</v>
      </c>
      <c r="I62" s="4" t="s">
        <v>88</v>
      </c>
      <c r="J62" s="4"/>
      <c r="K62" s="4"/>
      <c r="L62" s="4"/>
      <c r="M62" s="4" t="s">
        <v>107</v>
      </c>
      <c r="N62" s="4" t="s">
        <v>156</v>
      </c>
      <c r="O62" s="4" t="s">
        <v>335</v>
      </c>
    </row>
    <row r="63" customFormat="false" ht="23.85" hidden="false" customHeight="false" outlineLevel="0" collapsed="false">
      <c r="A63" s="4" t="n">
        <v>20353</v>
      </c>
      <c r="B63" s="4" t="s">
        <v>58</v>
      </c>
      <c r="C63" s="4" t="s">
        <v>336</v>
      </c>
      <c r="D63" s="4" t="s">
        <v>337</v>
      </c>
      <c r="E63" s="8" t="n">
        <f aca="false">LEN(D63)</f>
        <v>41</v>
      </c>
      <c r="F63" s="4" t="s">
        <v>338</v>
      </c>
      <c r="G63" s="8" t="n">
        <f aca="false">LEN(F63)</f>
        <v>56</v>
      </c>
      <c r="H63" s="4" t="s">
        <v>105</v>
      </c>
      <c r="I63" s="4" t="s">
        <v>76</v>
      </c>
      <c r="J63" s="4"/>
      <c r="K63" s="4"/>
      <c r="L63" s="4" t="s">
        <v>77</v>
      </c>
      <c r="M63" s="4" t="s">
        <v>78</v>
      </c>
      <c r="N63" s="4" t="s">
        <v>66</v>
      </c>
      <c r="O63" s="4" t="s">
        <v>123</v>
      </c>
    </row>
    <row r="64" customFormat="false" ht="35.05" hidden="false" customHeight="false" outlineLevel="0" collapsed="false">
      <c r="A64" s="4" t="n">
        <v>20358</v>
      </c>
      <c r="B64" s="4" t="s">
        <v>58</v>
      </c>
      <c r="C64" s="4" t="s">
        <v>339</v>
      </c>
      <c r="D64" s="4" t="s">
        <v>340</v>
      </c>
      <c r="E64" s="8" t="n">
        <f aca="false">LEN(D64)</f>
        <v>37</v>
      </c>
      <c r="F64" s="4" t="s">
        <v>341</v>
      </c>
      <c r="G64" s="8" t="n">
        <f aca="false">LEN(F64)</f>
        <v>52</v>
      </c>
      <c r="H64" s="4" t="s">
        <v>105</v>
      </c>
      <c r="I64" s="4" t="s">
        <v>318</v>
      </c>
      <c r="J64" s="4" t="s">
        <v>342</v>
      </c>
      <c r="K64" s="4" t="s">
        <v>343</v>
      </c>
      <c r="L64" s="4" t="s">
        <v>344</v>
      </c>
      <c r="M64" s="4" t="s">
        <v>65</v>
      </c>
      <c r="N64" s="4" t="s">
        <v>66</v>
      </c>
      <c r="O64" s="4" t="s">
        <v>345</v>
      </c>
    </row>
    <row r="65" customFormat="false" ht="35.05" hidden="false" customHeight="false" outlineLevel="0" collapsed="false">
      <c r="A65" s="4" t="n">
        <v>20370</v>
      </c>
      <c r="B65" s="4" t="s">
        <v>58</v>
      </c>
      <c r="C65" s="4" t="s">
        <v>346</v>
      </c>
      <c r="D65" s="4" t="s">
        <v>347</v>
      </c>
      <c r="E65" s="8" t="n">
        <f aca="false">LEN(D65)</f>
        <v>31</v>
      </c>
      <c r="F65" s="4" t="s">
        <v>348</v>
      </c>
      <c r="G65" s="8" t="n">
        <f aca="false">LEN(F65)</f>
        <v>46</v>
      </c>
      <c r="H65" s="4" t="s">
        <v>105</v>
      </c>
      <c r="I65" s="4" t="s">
        <v>349</v>
      </c>
      <c r="J65" s="4" t="s">
        <v>350</v>
      </c>
      <c r="K65" s="4"/>
      <c r="L65" s="4"/>
      <c r="M65" s="4" t="s">
        <v>78</v>
      </c>
      <c r="N65" s="4" t="s">
        <v>66</v>
      </c>
      <c r="O65" s="4" t="s">
        <v>123</v>
      </c>
    </row>
    <row r="66" customFormat="false" ht="15" hidden="false" customHeight="false" outlineLevel="0" collapsed="false">
      <c r="A66" s="4" t="n">
        <v>20440</v>
      </c>
      <c r="B66" s="4" t="s">
        <v>101</v>
      </c>
      <c r="C66" s="4" t="s">
        <v>351</v>
      </c>
      <c r="D66" s="4" t="s">
        <v>352</v>
      </c>
      <c r="E66" s="8" t="n">
        <f aca="false">LEN(D66)</f>
        <v>39</v>
      </c>
      <c r="F66" s="4" t="s">
        <v>353</v>
      </c>
      <c r="G66" s="8" t="n">
        <f aca="false">LEN(F66)</f>
        <v>54</v>
      </c>
      <c r="H66" s="4" t="s">
        <v>75</v>
      </c>
      <c r="I66" s="4" t="s">
        <v>354</v>
      </c>
      <c r="J66" s="4"/>
      <c r="K66" s="4"/>
      <c r="L66" s="4"/>
      <c r="M66" s="4" t="s">
        <v>355</v>
      </c>
      <c r="N66" s="4" t="s">
        <v>66</v>
      </c>
      <c r="O66" s="4" t="s">
        <v>137</v>
      </c>
    </row>
    <row r="67" customFormat="false" ht="23.85" hidden="false" customHeight="false" outlineLevel="0" collapsed="false">
      <c r="A67" s="4" t="n">
        <v>20464</v>
      </c>
      <c r="B67" s="4" t="s">
        <v>58</v>
      </c>
      <c r="C67" s="4" t="s">
        <v>356</v>
      </c>
      <c r="D67" s="4" t="s">
        <v>357</v>
      </c>
      <c r="E67" s="8" t="n">
        <f aca="false">LEN(D67)</f>
        <v>50</v>
      </c>
      <c r="F67" s="4" t="s">
        <v>357</v>
      </c>
      <c r="G67" s="8" t="n">
        <f aca="false">LEN(F67)</f>
        <v>50</v>
      </c>
      <c r="H67" s="4" t="s">
        <v>105</v>
      </c>
      <c r="I67" s="4" t="s">
        <v>328</v>
      </c>
      <c r="J67" s="4"/>
      <c r="K67" s="4"/>
      <c r="L67" s="4" t="s">
        <v>358</v>
      </c>
      <c r="M67" s="4" t="s">
        <v>78</v>
      </c>
      <c r="N67" s="4" t="s">
        <v>66</v>
      </c>
      <c r="O67" s="4" t="s">
        <v>137</v>
      </c>
    </row>
    <row r="68" customFormat="false" ht="23.85" hidden="false" customHeight="false" outlineLevel="0" collapsed="false">
      <c r="A68" s="4" t="n">
        <v>20531</v>
      </c>
      <c r="B68" s="4" t="s">
        <v>101</v>
      </c>
      <c r="C68" s="4" t="s">
        <v>359</v>
      </c>
      <c r="D68" s="4" t="s">
        <v>360</v>
      </c>
      <c r="E68" s="8" t="n">
        <f aca="false">LEN(D68)</f>
        <v>31</v>
      </c>
      <c r="F68" s="4" t="s">
        <v>361</v>
      </c>
      <c r="G68" s="8" t="n">
        <f aca="false">LEN(F68)</f>
        <v>46</v>
      </c>
      <c r="H68" s="4" t="s">
        <v>105</v>
      </c>
      <c r="I68" s="4" t="s">
        <v>362</v>
      </c>
      <c r="J68" s="4"/>
      <c r="K68" s="4"/>
      <c r="L68" s="4"/>
      <c r="M68" s="4" t="s">
        <v>363</v>
      </c>
      <c r="N68" s="4" t="s">
        <v>66</v>
      </c>
      <c r="O68" s="4" t="s">
        <v>137</v>
      </c>
    </row>
    <row r="69" customFormat="false" ht="23.85" hidden="false" customHeight="false" outlineLevel="0" collapsed="false">
      <c r="A69" s="4" t="n">
        <v>20727</v>
      </c>
      <c r="B69" s="4" t="s">
        <v>101</v>
      </c>
      <c r="C69" s="4" t="s">
        <v>364</v>
      </c>
      <c r="D69" s="4" t="s">
        <v>365</v>
      </c>
      <c r="E69" s="8" t="n">
        <f aca="false">LEN(D69)</f>
        <v>29</v>
      </c>
      <c r="F69" s="4" t="s">
        <v>366</v>
      </c>
      <c r="G69" s="8" t="n">
        <f aca="false">LEN(F69)</f>
        <v>44</v>
      </c>
      <c r="H69" s="4" t="s">
        <v>105</v>
      </c>
      <c r="I69" s="4" t="s">
        <v>367</v>
      </c>
      <c r="J69" s="4"/>
      <c r="K69" s="4"/>
      <c r="L69" s="4" t="s">
        <v>116</v>
      </c>
      <c r="M69" s="4" t="s">
        <v>107</v>
      </c>
      <c r="N69" s="4" t="s">
        <v>66</v>
      </c>
      <c r="O69" s="4" t="s">
        <v>137</v>
      </c>
    </row>
    <row r="70" customFormat="false" ht="15" hidden="false" customHeight="false" outlineLevel="0" collapsed="false">
      <c r="A70" s="4" t="n">
        <v>20929</v>
      </c>
      <c r="B70" s="4" t="s">
        <v>101</v>
      </c>
      <c r="C70" s="4" t="s">
        <v>368</v>
      </c>
      <c r="D70" s="4" t="s">
        <v>369</v>
      </c>
      <c r="E70" s="8" t="n">
        <f aca="false">LEN(D70)</f>
        <v>30</v>
      </c>
      <c r="F70" s="4" t="s">
        <v>370</v>
      </c>
      <c r="G70" s="8" t="n">
        <f aca="false">LEN(F70)</f>
        <v>45</v>
      </c>
      <c r="H70" s="4" t="s">
        <v>371</v>
      </c>
      <c r="I70" s="4" t="s">
        <v>136</v>
      </c>
      <c r="J70" s="4"/>
      <c r="K70" s="4"/>
      <c r="L70" s="4"/>
      <c r="M70" s="4" t="s">
        <v>107</v>
      </c>
      <c r="N70" s="4" t="s">
        <v>66</v>
      </c>
      <c r="O70" s="4" t="s">
        <v>295</v>
      </c>
    </row>
    <row r="71" customFormat="false" ht="23.85" hidden="false" customHeight="false" outlineLevel="0" collapsed="false">
      <c r="A71" s="4" t="n">
        <v>21032</v>
      </c>
      <c r="B71" s="4" t="s">
        <v>58</v>
      </c>
      <c r="C71" s="4" t="s">
        <v>372</v>
      </c>
      <c r="D71" s="4" t="s">
        <v>373</v>
      </c>
      <c r="E71" s="8" t="n">
        <f aca="false">LEN(D71)</f>
        <v>41</v>
      </c>
      <c r="F71" s="4" t="s">
        <v>374</v>
      </c>
      <c r="G71" s="8" t="n">
        <f aca="false">LEN(F71)</f>
        <v>56</v>
      </c>
      <c r="H71" s="4" t="s">
        <v>105</v>
      </c>
      <c r="I71" s="4" t="s">
        <v>155</v>
      </c>
      <c r="J71" s="4"/>
      <c r="K71" s="4"/>
      <c r="L71" s="4" t="s">
        <v>94</v>
      </c>
      <c r="M71" s="4" t="s">
        <v>78</v>
      </c>
      <c r="N71" s="4" t="s">
        <v>66</v>
      </c>
      <c r="O71" s="4" t="s">
        <v>123</v>
      </c>
    </row>
    <row r="72" customFormat="false" ht="23.85" hidden="false" customHeight="false" outlineLevel="0" collapsed="false">
      <c r="A72" s="4" t="n">
        <v>21181</v>
      </c>
      <c r="B72" s="4" t="s">
        <v>58</v>
      </c>
      <c r="C72" s="4" t="s">
        <v>375</v>
      </c>
      <c r="D72" s="4" t="s">
        <v>376</v>
      </c>
      <c r="E72" s="8" t="n">
        <f aca="false">LEN(D72)</f>
        <v>30</v>
      </c>
      <c r="F72" s="4" t="s">
        <v>377</v>
      </c>
      <c r="G72" s="8" t="n">
        <f aca="false">LEN(F72)</f>
        <v>45</v>
      </c>
      <c r="H72" s="4" t="s">
        <v>378</v>
      </c>
      <c r="I72" s="4" t="s">
        <v>379</v>
      </c>
      <c r="J72" s="4" t="s">
        <v>380</v>
      </c>
      <c r="K72" s="4"/>
      <c r="L72" s="4" t="s">
        <v>300</v>
      </c>
      <c r="M72" s="4" t="s">
        <v>78</v>
      </c>
      <c r="N72" s="4" t="s">
        <v>66</v>
      </c>
      <c r="O72" s="4" t="s">
        <v>295</v>
      </c>
    </row>
    <row r="73" customFormat="false" ht="15" hidden="false" customHeight="false" outlineLevel="0" collapsed="false">
      <c r="A73" s="4" t="n">
        <v>21210</v>
      </c>
      <c r="B73" s="4" t="s">
        <v>101</v>
      </c>
      <c r="C73" s="4" t="s">
        <v>381</v>
      </c>
      <c r="D73" s="4" t="s">
        <v>382</v>
      </c>
      <c r="E73" s="8" t="n">
        <f aca="false">LEN(D73)</f>
        <v>43</v>
      </c>
      <c r="F73" s="4" t="s">
        <v>383</v>
      </c>
      <c r="G73" s="8" t="n">
        <f aca="false">LEN(F73)</f>
        <v>58</v>
      </c>
      <c r="H73" s="4" t="s">
        <v>75</v>
      </c>
      <c r="I73" s="4" t="s">
        <v>181</v>
      </c>
      <c r="J73" s="4"/>
      <c r="K73" s="4"/>
      <c r="L73" s="4"/>
      <c r="M73" s="4" t="s">
        <v>355</v>
      </c>
      <c r="N73" s="4" t="s">
        <v>156</v>
      </c>
      <c r="O73" s="4" t="s">
        <v>384</v>
      </c>
    </row>
    <row r="74" customFormat="false" ht="23.85" hidden="false" customHeight="false" outlineLevel="0" collapsed="false">
      <c r="A74" s="4" t="n">
        <v>21257</v>
      </c>
      <c r="B74" s="4" t="s">
        <v>101</v>
      </c>
      <c r="C74" s="4" t="s">
        <v>385</v>
      </c>
      <c r="D74" s="4" t="s">
        <v>386</v>
      </c>
      <c r="E74" s="8" t="n">
        <f aca="false">LEN(D74)</f>
        <v>37</v>
      </c>
      <c r="F74" s="4" t="s">
        <v>387</v>
      </c>
      <c r="G74" s="8" t="n">
        <f aca="false">LEN(F74)</f>
        <v>52</v>
      </c>
      <c r="H74" s="4" t="s">
        <v>388</v>
      </c>
      <c r="I74" s="4" t="s">
        <v>379</v>
      </c>
      <c r="J74" s="4"/>
      <c r="K74" s="4"/>
      <c r="L74" s="4"/>
      <c r="M74" s="4" t="s">
        <v>107</v>
      </c>
      <c r="N74" s="4" t="s">
        <v>66</v>
      </c>
      <c r="O74" s="4" t="s">
        <v>123</v>
      </c>
    </row>
    <row r="75" customFormat="false" ht="23.85" hidden="false" customHeight="false" outlineLevel="0" collapsed="false">
      <c r="A75" s="4" t="n">
        <v>21282</v>
      </c>
      <c r="B75" s="4" t="s">
        <v>101</v>
      </c>
      <c r="C75" s="4" t="s">
        <v>389</v>
      </c>
      <c r="D75" s="4" t="s">
        <v>390</v>
      </c>
      <c r="E75" s="8" t="n">
        <f aca="false">LEN(D75)</f>
        <v>15</v>
      </c>
      <c r="F75" s="4" t="s">
        <v>391</v>
      </c>
      <c r="G75" s="8" t="n">
        <f aca="false">LEN(F75)</f>
        <v>30</v>
      </c>
      <c r="H75" s="4" t="s">
        <v>392</v>
      </c>
      <c r="I75" s="4" t="s">
        <v>379</v>
      </c>
      <c r="J75" s="4"/>
      <c r="K75" s="4"/>
      <c r="L75" s="4"/>
      <c r="M75" s="4" t="s">
        <v>393</v>
      </c>
      <c r="N75" s="4" t="s">
        <v>66</v>
      </c>
      <c r="O75" s="4" t="s">
        <v>123</v>
      </c>
    </row>
    <row r="76" customFormat="false" ht="23.85" hidden="false" customHeight="false" outlineLevel="0" collapsed="false">
      <c r="A76" s="4" t="n">
        <v>21360</v>
      </c>
      <c r="B76" s="4" t="s">
        <v>58</v>
      </c>
      <c r="C76" s="4" t="s">
        <v>394</v>
      </c>
      <c r="D76" s="4" t="s">
        <v>395</v>
      </c>
      <c r="E76" s="8" t="n">
        <f aca="false">LEN(D76)</f>
        <v>44</v>
      </c>
      <c r="F76" s="4" t="s">
        <v>396</v>
      </c>
      <c r="G76" s="8" t="n">
        <f aca="false">LEN(F76)</f>
        <v>59</v>
      </c>
      <c r="H76" s="4" t="s">
        <v>75</v>
      </c>
      <c r="I76" s="4" t="s">
        <v>155</v>
      </c>
      <c r="J76" s="4"/>
      <c r="K76" s="4"/>
      <c r="L76" s="4"/>
      <c r="M76" s="4" t="s">
        <v>65</v>
      </c>
      <c r="N76" s="4" t="s">
        <v>66</v>
      </c>
      <c r="O76" s="4" t="s">
        <v>123</v>
      </c>
    </row>
    <row r="77" customFormat="false" ht="23.85" hidden="false" customHeight="false" outlineLevel="0" collapsed="false">
      <c r="A77" s="4" t="n">
        <v>21373</v>
      </c>
      <c r="B77" s="4" t="s">
        <v>58</v>
      </c>
      <c r="C77" s="4" t="s">
        <v>397</v>
      </c>
      <c r="D77" s="4" t="s">
        <v>398</v>
      </c>
      <c r="E77" s="8" t="n">
        <f aca="false">LEN(D77)</f>
        <v>48</v>
      </c>
      <c r="F77" s="4" t="s">
        <v>398</v>
      </c>
      <c r="G77" s="8" t="n">
        <f aca="false">LEN(F77)</f>
        <v>48</v>
      </c>
      <c r="H77" s="4" t="s">
        <v>75</v>
      </c>
      <c r="I77" s="4" t="s">
        <v>379</v>
      </c>
      <c r="J77" s="4"/>
      <c r="K77" s="4"/>
      <c r="L77" s="4" t="s">
        <v>89</v>
      </c>
      <c r="M77" s="4" t="s">
        <v>65</v>
      </c>
      <c r="N77" s="4" t="s">
        <v>66</v>
      </c>
      <c r="O77" s="4" t="s">
        <v>123</v>
      </c>
    </row>
    <row r="78" customFormat="false" ht="23.85" hidden="false" customHeight="false" outlineLevel="0" collapsed="false">
      <c r="A78" s="4" t="n">
        <v>21419</v>
      </c>
      <c r="B78" s="4" t="s">
        <v>58</v>
      </c>
      <c r="C78" s="4" t="s">
        <v>399</v>
      </c>
      <c r="D78" s="4" t="s">
        <v>400</v>
      </c>
      <c r="E78" s="8" t="n">
        <f aca="false">LEN(D78)</f>
        <v>39</v>
      </c>
      <c r="F78" s="4" t="s">
        <v>401</v>
      </c>
      <c r="G78" s="8" t="n">
        <f aca="false">LEN(F78)</f>
        <v>54</v>
      </c>
      <c r="H78" s="4" t="s">
        <v>105</v>
      </c>
      <c r="I78" s="4" t="s">
        <v>328</v>
      </c>
      <c r="J78" s="4"/>
      <c r="K78" s="4"/>
      <c r="L78" s="4" t="s">
        <v>185</v>
      </c>
      <c r="M78" s="4" t="s">
        <v>78</v>
      </c>
      <c r="N78" s="4" t="s">
        <v>66</v>
      </c>
      <c r="O78" s="4" t="s">
        <v>123</v>
      </c>
    </row>
    <row r="79" customFormat="false" ht="23.85" hidden="false" customHeight="false" outlineLevel="0" collapsed="false">
      <c r="A79" s="4" t="n">
        <v>21628</v>
      </c>
      <c r="B79" s="4" t="s">
        <v>58</v>
      </c>
      <c r="C79" s="4" t="s">
        <v>402</v>
      </c>
      <c r="D79" s="4" t="s">
        <v>403</v>
      </c>
      <c r="E79" s="8" t="n">
        <f aca="false">LEN(D79)</f>
        <v>9</v>
      </c>
      <c r="F79" s="4" t="s">
        <v>404</v>
      </c>
      <c r="G79" s="8" t="n">
        <f aca="false">LEN(F79)</f>
        <v>24</v>
      </c>
      <c r="H79" s="4" t="s">
        <v>278</v>
      </c>
      <c r="I79" s="4" t="s">
        <v>88</v>
      </c>
      <c r="J79" s="4"/>
      <c r="K79" s="4"/>
      <c r="L79" s="4"/>
      <c r="M79" s="4" t="s">
        <v>65</v>
      </c>
      <c r="N79" s="4" t="s">
        <v>156</v>
      </c>
      <c r="O79" s="4" t="s">
        <v>405</v>
      </c>
    </row>
    <row r="80" customFormat="false" ht="15" hidden="false" customHeight="false" outlineLevel="0" collapsed="false">
      <c r="A80" s="4" t="n">
        <v>21650</v>
      </c>
      <c r="B80" s="4" t="s">
        <v>58</v>
      </c>
      <c r="C80" s="4" t="s">
        <v>406</v>
      </c>
      <c r="D80" s="4" t="s">
        <v>407</v>
      </c>
      <c r="E80" s="8" t="n">
        <f aca="false">LEN(D80)</f>
        <v>32</v>
      </c>
      <c r="F80" s="4" t="s">
        <v>408</v>
      </c>
      <c r="G80" s="8" t="n">
        <f aca="false">LEN(F80)</f>
        <v>47</v>
      </c>
      <c r="H80" s="4" t="s">
        <v>105</v>
      </c>
      <c r="I80" s="4" t="s">
        <v>328</v>
      </c>
      <c r="J80" s="4"/>
      <c r="K80" s="4" t="s">
        <v>409</v>
      </c>
      <c r="L80" s="4" t="s">
        <v>410</v>
      </c>
      <c r="M80" s="4" t="s">
        <v>65</v>
      </c>
      <c r="N80" s="4" t="s">
        <v>66</v>
      </c>
      <c r="O80" s="4" t="s">
        <v>345</v>
      </c>
    </row>
    <row r="81" customFormat="false" ht="23.85" hidden="false" customHeight="false" outlineLevel="0" collapsed="false">
      <c r="A81" s="4" t="n">
        <v>21724</v>
      </c>
      <c r="B81" s="4" t="s">
        <v>58</v>
      </c>
      <c r="C81" s="4" t="s">
        <v>411</v>
      </c>
      <c r="D81" s="4" t="s">
        <v>412</v>
      </c>
      <c r="E81" s="8" t="n">
        <f aca="false">LEN(D81)</f>
        <v>27</v>
      </c>
      <c r="F81" s="4" t="s">
        <v>413</v>
      </c>
      <c r="G81" s="8" t="n">
        <f aca="false">LEN(F81)</f>
        <v>42</v>
      </c>
      <c r="H81" s="4" t="s">
        <v>105</v>
      </c>
      <c r="I81" s="4" t="s">
        <v>328</v>
      </c>
      <c r="J81" s="4"/>
      <c r="K81" s="4" t="s">
        <v>414</v>
      </c>
      <c r="L81" s="4" t="s">
        <v>415</v>
      </c>
      <c r="M81" s="4" t="s">
        <v>78</v>
      </c>
      <c r="N81" s="4" t="s">
        <v>66</v>
      </c>
      <c r="O81" s="4" t="s">
        <v>123</v>
      </c>
    </row>
    <row r="82" customFormat="false" ht="23.85" hidden="false" customHeight="false" outlineLevel="0" collapsed="false">
      <c r="A82" s="4" t="n">
        <v>21727</v>
      </c>
      <c r="B82" s="4" t="s">
        <v>58</v>
      </c>
      <c r="C82" s="4" t="s">
        <v>416</v>
      </c>
      <c r="D82" s="4" t="s">
        <v>417</v>
      </c>
      <c r="E82" s="8" t="n">
        <f aca="false">LEN(D82)</f>
        <v>38</v>
      </c>
      <c r="F82" s="4" t="s">
        <v>418</v>
      </c>
      <c r="G82" s="8" t="n">
        <f aca="false">LEN(F82)</f>
        <v>53</v>
      </c>
      <c r="H82" s="4" t="s">
        <v>105</v>
      </c>
      <c r="I82" s="4" t="s">
        <v>328</v>
      </c>
      <c r="J82" s="4"/>
      <c r="K82" s="4"/>
      <c r="L82" s="4"/>
      <c r="M82" s="4" t="s">
        <v>78</v>
      </c>
      <c r="N82" s="4" t="s">
        <v>66</v>
      </c>
      <c r="O82" s="4" t="s">
        <v>123</v>
      </c>
    </row>
    <row r="83" customFormat="false" ht="23.85" hidden="false" customHeight="false" outlineLevel="0" collapsed="false">
      <c r="A83" s="4" t="n">
        <v>21744</v>
      </c>
      <c r="B83" s="4" t="s">
        <v>101</v>
      </c>
      <c r="C83" s="4" t="s">
        <v>419</v>
      </c>
      <c r="D83" s="4" t="s">
        <v>420</v>
      </c>
      <c r="E83" s="8" t="n">
        <f aca="false">LEN(D83)</f>
        <v>33</v>
      </c>
      <c r="F83" s="4" t="s">
        <v>421</v>
      </c>
      <c r="G83" s="8" t="n">
        <f aca="false">LEN(F83)</f>
        <v>48</v>
      </c>
      <c r="H83" s="4" t="s">
        <v>422</v>
      </c>
      <c r="I83" s="4" t="s">
        <v>379</v>
      </c>
      <c r="J83" s="4"/>
      <c r="K83" s="4"/>
      <c r="L83" s="4"/>
      <c r="M83" s="4" t="s">
        <v>423</v>
      </c>
      <c r="N83" s="4" t="s">
        <v>66</v>
      </c>
      <c r="O83" s="4" t="s">
        <v>123</v>
      </c>
    </row>
    <row r="84" customFormat="false" ht="15" hidden="false" customHeight="false" outlineLevel="0" collapsed="false">
      <c r="A84" s="4" t="n">
        <v>21850</v>
      </c>
      <c r="B84" s="4" t="s">
        <v>58</v>
      </c>
      <c r="C84" s="4" t="s">
        <v>424</v>
      </c>
      <c r="D84" s="4" t="s">
        <v>425</v>
      </c>
      <c r="E84" s="8" t="n">
        <f aca="false">LEN(D84)</f>
        <v>33</v>
      </c>
      <c r="F84" s="4" t="s">
        <v>426</v>
      </c>
      <c r="G84" s="8" t="n">
        <f aca="false">LEN(F84)</f>
        <v>48</v>
      </c>
      <c r="H84" s="4" t="s">
        <v>75</v>
      </c>
      <c r="I84" s="4" t="s">
        <v>181</v>
      </c>
      <c r="J84" s="4"/>
      <c r="K84" s="4"/>
      <c r="L84" s="4"/>
      <c r="M84" s="4" t="s">
        <v>78</v>
      </c>
      <c r="N84" s="4" t="s">
        <v>66</v>
      </c>
      <c r="O84" s="4" t="s">
        <v>295</v>
      </c>
    </row>
    <row r="85" customFormat="false" ht="15" hidden="false" customHeight="false" outlineLevel="0" collapsed="false">
      <c r="A85" s="4" t="n">
        <v>21877</v>
      </c>
      <c r="B85" s="4" t="s">
        <v>58</v>
      </c>
      <c r="C85" s="4" t="s">
        <v>427</v>
      </c>
      <c r="D85" s="4" t="s">
        <v>428</v>
      </c>
      <c r="E85" s="8" t="n">
        <f aca="false">LEN(D85)</f>
        <v>32</v>
      </c>
      <c r="F85" s="4" t="s">
        <v>429</v>
      </c>
      <c r="G85" s="8" t="n">
        <f aca="false">LEN(F85)</f>
        <v>47</v>
      </c>
      <c r="H85" s="4" t="s">
        <v>87</v>
      </c>
      <c r="I85" s="4" t="s">
        <v>430</v>
      </c>
      <c r="J85" s="4"/>
      <c r="K85" s="4"/>
      <c r="L85" s="4" t="s">
        <v>116</v>
      </c>
      <c r="M85" s="4" t="s">
        <v>78</v>
      </c>
      <c r="N85" s="4" t="s">
        <v>66</v>
      </c>
      <c r="O85" s="4" t="s">
        <v>137</v>
      </c>
    </row>
    <row r="86" customFormat="false" ht="23.85" hidden="false" customHeight="false" outlineLevel="0" collapsed="false">
      <c r="A86" s="4" t="n">
        <v>21951</v>
      </c>
      <c r="B86" s="4" t="s">
        <v>101</v>
      </c>
      <c r="C86" s="4" t="s">
        <v>431</v>
      </c>
      <c r="D86" s="4" t="s">
        <v>432</v>
      </c>
      <c r="E86" s="8" t="n">
        <f aca="false">LEN(D86)</f>
        <v>37</v>
      </c>
      <c r="F86" s="4" t="s">
        <v>433</v>
      </c>
      <c r="G86" s="8" t="n">
        <f aca="false">LEN(F86)</f>
        <v>52</v>
      </c>
      <c r="H86" s="4" t="s">
        <v>434</v>
      </c>
      <c r="I86" s="4" t="s">
        <v>131</v>
      </c>
      <c r="J86" s="4"/>
      <c r="K86" s="4"/>
      <c r="L86" s="4"/>
      <c r="M86" s="4" t="s">
        <v>435</v>
      </c>
      <c r="N86" s="4" t="s">
        <v>66</v>
      </c>
      <c r="O86" s="4" t="s">
        <v>67</v>
      </c>
    </row>
    <row r="87" customFormat="false" ht="23.85" hidden="false" customHeight="false" outlineLevel="0" collapsed="false">
      <c r="A87" s="4" t="n">
        <v>21965</v>
      </c>
      <c r="B87" s="4" t="s">
        <v>101</v>
      </c>
      <c r="C87" s="4" t="s">
        <v>436</v>
      </c>
      <c r="D87" s="4" t="s">
        <v>437</v>
      </c>
      <c r="E87" s="8" t="n">
        <f aca="false">LEN(D87)</f>
        <v>31</v>
      </c>
      <c r="F87" s="4" t="s">
        <v>438</v>
      </c>
      <c r="G87" s="8" t="n">
        <f aca="false">LEN(F87)</f>
        <v>46</v>
      </c>
      <c r="H87" s="4" t="s">
        <v>434</v>
      </c>
      <c r="I87" s="4" t="s">
        <v>367</v>
      </c>
      <c r="J87" s="4"/>
      <c r="K87" s="4"/>
      <c r="L87" s="4" t="s">
        <v>132</v>
      </c>
      <c r="M87" s="4" t="s">
        <v>107</v>
      </c>
      <c r="N87" s="4" t="s">
        <v>66</v>
      </c>
      <c r="O87" s="4" t="s">
        <v>79</v>
      </c>
    </row>
    <row r="88" customFormat="false" ht="23.85" hidden="false" customHeight="false" outlineLevel="0" collapsed="false">
      <c r="A88" s="4" t="n">
        <v>21979</v>
      </c>
      <c r="B88" s="4" t="s">
        <v>101</v>
      </c>
      <c r="C88" s="4" t="s">
        <v>439</v>
      </c>
      <c r="D88" s="4" t="s">
        <v>440</v>
      </c>
      <c r="E88" s="8" t="n">
        <f aca="false">LEN(D88)</f>
        <v>35</v>
      </c>
      <c r="F88" s="4" t="s">
        <v>441</v>
      </c>
      <c r="G88" s="8" t="n">
        <f aca="false">LEN(F88)</f>
        <v>50</v>
      </c>
      <c r="H88" s="4" t="s">
        <v>434</v>
      </c>
      <c r="I88" s="4" t="s">
        <v>442</v>
      </c>
      <c r="J88" s="4"/>
      <c r="K88" s="4"/>
      <c r="L88" s="4"/>
      <c r="M88" s="4" t="s">
        <v>107</v>
      </c>
      <c r="N88" s="4" t="s">
        <v>66</v>
      </c>
      <c r="O88" s="4" t="s">
        <v>137</v>
      </c>
    </row>
    <row r="89" customFormat="false" ht="23.85" hidden="false" customHeight="false" outlineLevel="0" collapsed="false">
      <c r="A89" s="4" t="n">
        <v>22011</v>
      </c>
      <c r="B89" s="4" t="s">
        <v>58</v>
      </c>
      <c r="C89" s="4" t="s">
        <v>443</v>
      </c>
      <c r="D89" s="4" t="s">
        <v>444</v>
      </c>
      <c r="E89" s="8" t="n">
        <f aca="false">LEN(D89)</f>
        <v>37</v>
      </c>
      <c r="F89" s="4" t="s">
        <v>445</v>
      </c>
      <c r="G89" s="8" t="n">
        <f aca="false">LEN(F89)</f>
        <v>52</v>
      </c>
      <c r="H89" s="4" t="s">
        <v>434</v>
      </c>
      <c r="I89" s="4" t="s">
        <v>446</v>
      </c>
      <c r="J89" s="4"/>
      <c r="K89" s="4"/>
      <c r="L89" s="4"/>
      <c r="M89" s="4" t="s">
        <v>78</v>
      </c>
      <c r="N89" s="4" t="s">
        <v>66</v>
      </c>
      <c r="O89" s="4" t="s">
        <v>345</v>
      </c>
    </row>
    <row r="90" customFormat="false" ht="23.85" hidden="false" customHeight="false" outlineLevel="0" collapsed="false">
      <c r="A90" s="4" t="n">
        <v>22386</v>
      </c>
      <c r="B90" s="4" t="s">
        <v>101</v>
      </c>
      <c r="C90" s="4" t="s">
        <v>447</v>
      </c>
      <c r="D90" s="4" t="s">
        <v>448</v>
      </c>
      <c r="E90" s="8" t="n">
        <f aca="false">LEN(D90)</f>
        <v>35</v>
      </c>
      <c r="F90" s="4" t="s">
        <v>449</v>
      </c>
      <c r="G90" s="8" t="n">
        <f aca="false">LEN(F90)</f>
        <v>50</v>
      </c>
      <c r="H90" s="4" t="s">
        <v>434</v>
      </c>
      <c r="I90" s="4" t="s">
        <v>450</v>
      </c>
      <c r="J90" s="4"/>
      <c r="K90" s="4"/>
      <c r="L90" s="4"/>
      <c r="M90" s="4" t="s">
        <v>107</v>
      </c>
      <c r="N90" s="4" t="s">
        <v>66</v>
      </c>
      <c r="O90" s="4" t="s">
        <v>295</v>
      </c>
    </row>
    <row r="91" customFormat="false" ht="15" hidden="false" customHeight="false" outlineLevel="0" collapsed="false">
      <c r="A91" s="4" t="n">
        <v>22608</v>
      </c>
      <c r="B91" s="4" t="s">
        <v>58</v>
      </c>
      <c r="C91" s="4" t="s">
        <v>451</v>
      </c>
      <c r="D91" s="4" t="s">
        <v>452</v>
      </c>
      <c r="E91" s="8" t="n">
        <f aca="false">LEN(D91)</f>
        <v>35</v>
      </c>
      <c r="F91" s="4" t="s">
        <v>453</v>
      </c>
      <c r="G91" s="8" t="n">
        <f aca="false">LEN(F91)</f>
        <v>50</v>
      </c>
      <c r="H91" s="4" t="s">
        <v>87</v>
      </c>
      <c r="I91" s="4" t="s">
        <v>454</v>
      </c>
      <c r="J91" s="4"/>
      <c r="K91" s="4"/>
      <c r="L91" s="4"/>
      <c r="M91" s="4" t="s">
        <v>78</v>
      </c>
      <c r="N91" s="4" t="s">
        <v>66</v>
      </c>
      <c r="O91" s="4" t="s">
        <v>455</v>
      </c>
    </row>
    <row r="92" customFormat="false" ht="23.85" hidden="false" customHeight="false" outlineLevel="0" collapsed="false">
      <c r="A92" s="4" t="n">
        <v>22614</v>
      </c>
      <c r="B92" s="4" t="s">
        <v>101</v>
      </c>
      <c r="C92" s="4" t="s">
        <v>456</v>
      </c>
      <c r="D92" s="4" t="s">
        <v>457</v>
      </c>
      <c r="E92" s="8" t="n">
        <f aca="false">LEN(D92)</f>
        <v>29</v>
      </c>
      <c r="F92" s="4" t="s">
        <v>458</v>
      </c>
      <c r="G92" s="8" t="n">
        <f aca="false">LEN(F92)</f>
        <v>44</v>
      </c>
      <c r="H92" s="4" t="s">
        <v>120</v>
      </c>
      <c r="I92" s="4" t="s">
        <v>459</v>
      </c>
      <c r="J92" s="4"/>
      <c r="K92" s="4"/>
      <c r="L92" s="4"/>
      <c r="M92" s="4" t="s">
        <v>107</v>
      </c>
      <c r="N92" s="4" t="s">
        <v>66</v>
      </c>
      <c r="O92" s="4" t="s">
        <v>137</v>
      </c>
    </row>
    <row r="93" customFormat="false" ht="46.25" hidden="false" customHeight="false" outlineLevel="0" collapsed="false">
      <c r="A93" s="4" t="n">
        <v>22738</v>
      </c>
      <c r="B93" s="4" t="s">
        <v>58</v>
      </c>
      <c r="C93" s="4" t="s">
        <v>460</v>
      </c>
      <c r="D93" s="4" t="s">
        <v>461</v>
      </c>
      <c r="E93" s="8" t="n">
        <f aca="false">LEN(D93)</f>
        <v>36</v>
      </c>
      <c r="F93" s="4" t="s">
        <v>462</v>
      </c>
      <c r="G93" s="8" t="n">
        <f aca="false">LEN(F93)</f>
        <v>51</v>
      </c>
      <c r="H93" s="4" t="s">
        <v>463</v>
      </c>
      <c r="I93" s="4" t="s">
        <v>464</v>
      </c>
      <c r="J93" s="4"/>
      <c r="K93" s="4"/>
      <c r="L93" s="4" t="s">
        <v>89</v>
      </c>
      <c r="M93" s="4" t="s">
        <v>78</v>
      </c>
      <c r="N93" s="4" t="s">
        <v>66</v>
      </c>
      <c r="O93" s="4" t="s">
        <v>123</v>
      </c>
    </row>
    <row r="94" customFormat="false" ht="23.85" hidden="false" customHeight="false" outlineLevel="0" collapsed="false">
      <c r="A94" s="4" t="n">
        <v>23499</v>
      </c>
      <c r="B94" s="4" t="s">
        <v>101</v>
      </c>
      <c r="C94" s="4" t="s">
        <v>465</v>
      </c>
      <c r="D94" s="4" t="s">
        <v>466</v>
      </c>
      <c r="E94" s="8" t="n">
        <f aca="false">LEN(D94)</f>
        <v>44</v>
      </c>
      <c r="F94" s="4" t="s">
        <v>467</v>
      </c>
      <c r="G94" s="8" t="n">
        <f aca="false">LEN(F94)</f>
        <v>59</v>
      </c>
      <c r="H94" s="4" t="s">
        <v>75</v>
      </c>
      <c r="I94" s="4" t="s">
        <v>468</v>
      </c>
      <c r="J94" s="4"/>
      <c r="K94" s="4"/>
      <c r="L94" s="4" t="s">
        <v>77</v>
      </c>
      <c r="M94" s="4" t="s">
        <v>469</v>
      </c>
      <c r="N94" s="4" t="s">
        <v>66</v>
      </c>
      <c r="O94" s="4" t="s">
        <v>295</v>
      </c>
    </row>
    <row r="95" customFormat="false" ht="35.05" hidden="false" customHeight="false" outlineLevel="0" collapsed="false">
      <c r="A95" s="4" t="n">
        <v>23519</v>
      </c>
      <c r="B95" s="4" t="s">
        <v>58</v>
      </c>
      <c r="C95" s="4" t="s">
        <v>470</v>
      </c>
      <c r="D95" s="4" t="s">
        <v>471</v>
      </c>
      <c r="E95" s="8" t="n">
        <f aca="false">LEN(D95)</f>
        <v>37</v>
      </c>
      <c r="F95" s="4" t="s">
        <v>472</v>
      </c>
      <c r="G95" s="8" t="n">
        <f aca="false">LEN(F95)</f>
        <v>52</v>
      </c>
      <c r="H95" s="4" t="s">
        <v>75</v>
      </c>
      <c r="I95" s="4" t="s">
        <v>172</v>
      </c>
      <c r="J95" s="4"/>
      <c r="K95" s="4"/>
      <c r="L95" s="4" t="s">
        <v>473</v>
      </c>
      <c r="M95" s="4" t="s">
        <v>78</v>
      </c>
      <c r="N95" s="4" t="s">
        <v>66</v>
      </c>
      <c r="O95" s="4" t="s">
        <v>295</v>
      </c>
    </row>
    <row r="96" customFormat="false" ht="15" hidden="false" customHeight="false" outlineLevel="0" collapsed="false">
      <c r="A96" s="4" t="n">
        <v>24641</v>
      </c>
      <c r="B96" s="4" t="s">
        <v>101</v>
      </c>
      <c r="C96" s="4" t="s">
        <v>474</v>
      </c>
      <c r="D96" s="4" t="s">
        <v>475</v>
      </c>
      <c r="E96" s="8" t="n">
        <f aca="false">LEN(D96)</f>
        <v>26</v>
      </c>
      <c r="F96" s="4" t="s">
        <v>476</v>
      </c>
      <c r="G96" s="8" t="n">
        <f aca="false">LEN(F96)</f>
        <v>41</v>
      </c>
      <c r="H96" s="4" t="s">
        <v>434</v>
      </c>
      <c r="I96" s="4" t="s">
        <v>155</v>
      </c>
      <c r="J96" s="4"/>
      <c r="K96" s="4"/>
      <c r="L96" s="4" t="s">
        <v>89</v>
      </c>
      <c r="M96" s="4" t="s">
        <v>355</v>
      </c>
      <c r="N96" s="4" t="s">
        <v>156</v>
      </c>
      <c r="O96" s="4" t="s">
        <v>384</v>
      </c>
    </row>
    <row r="97" customFormat="false" ht="35.05" hidden="false" customHeight="false" outlineLevel="0" collapsed="false">
      <c r="A97" s="4" t="n">
        <v>24655</v>
      </c>
      <c r="B97" s="4" t="s">
        <v>58</v>
      </c>
      <c r="C97" s="4" t="s">
        <v>477</v>
      </c>
      <c r="D97" s="4" t="s">
        <v>478</v>
      </c>
      <c r="E97" s="8" t="n">
        <f aca="false">LEN(D97)</f>
        <v>48</v>
      </c>
      <c r="F97" s="4" t="s">
        <v>478</v>
      </c>
      <c r="G97" s="8" t="n">
        <f aca="false">LEN(F97)</f>
        <v>48</v>
      </c>
      <c r="H97" s="4" t="s">
        <v>75</v>
      </c>
      <c r="I97" s="4" t="s">
        <v>299</v>
      </c>
      <c r="J97" s="4"/>
      <c r="K97" s="4"/>
      <c r="L97" s="4" t="s">
        <v>479</v>
      </c>
      <c r="M97" s="4" t="s">
        <v>78</v>
      </c>
      <c r="N97" s="4" t="s">
        <v>66</v>
      </c>
      <c r="O97" s="4" t="s">
        <v>137</v>
      </c>
    </row>
    <row r="98" customFormat="false" ht="15" hidden="false" customHeight="false" outlineLevel="0" collapsed="false">
      <c r="A98" s="4" t="n">
        <v>24668</v>
      </c>
      <c r="B98" s="4" t="s">
        <v>58</v>
      </c>
      <c r="C98" s="4" t="s">
        <v>480</v>
      </c>
      <c r="D98" s="4" t="s">
        <v>481</v>
      </c>
      <c r="E98" s="8" t="n">
        <f aca="false">LEN(D98)</f>
        <v>34</v>
      </c>
      <c r="F98" s="4" t="s">
        <v>482</v>
      </c>
      <c r="G98" s="8" t="n">
        <f aca="false">LEN(F98)</f>
        <v>49</v>
      </c>
      <c r="H98" s="4" t="s">
        <v>434</v>
      </c>
      <c r="I98" s="4" t="s">
        <v>155</v>
      </c>
      <c r="J98" s="4"/>
      <c r="K98" s="4" t="s">
        <v>483</v>
      </c>
      <c r="L98" s="4" t="s">
        <v>287</v>
      </c>
      <c r="M98" s="4" t="s">
        <v>78</v>
      </c>
      <c r="N98" s="4" t="s">
        <v>66</v>
      </c>
      <c r="O98" s="4" t="s">
        <v>345</v>
      </c>
    </row>
    <row r="99" customFormat="false" ht="23.85" hidden="false" customHeight="false" outlineLevel="0" collapsed="false">
      <c r="A99" s="4" t="n">
        <v>25024</v>
      </c>
      <c r="B99" s="4" t="s">
        <v>58</v>
      </c>
      <c r="C99" s="4" t="s">
        <v>484</v>
      </c>
      <c r="D99" s="4" t="s">
        <v>485</v>
      </c>
      <c r="E99" s="8" t="n">
        <f aca="false">LEN(D99)</f>
        <v>42</v>
      </c>
      <c r="F99" s="4" t="s">
        <v>486</v>
      </c>
      <c r="G99" s="8" t="n">
        <f aca="false">LEN(F99)</f>
        <v>57</v>
      </c>
      <c r="H99" s="4" t="s">
        <v>242</v>
      </c>
      <c r="I99" s="4" t="s">
        <v>76</v>
      </c>
      <c r="J99" s="4"/>
      <c r="K99" s="4"/>
      <c r="L99" s="4" t="s">
        <v>122</v>
      </c>
      <c r="M99" s="4" t="s">
        <v>78</v>
      </c>
      <c r="N99" s="4" t="s">
        <v>66</v>
      </c>
      <c r="O99" s="4" t="s">
        <v>123</v>
      </c>
    </row>
    <row r="100" customFormat="false" ht="23.85" hidden="false" customHeight="false" outlineLevel="0" collapsed="false">
      <c r="A100" s="4" t="n">
        <v>25033</v>
      </c>
      <c r="B100" s="4" t="s">
        <v>58</v>
      </c>
      <c r="C100" s="4" t="s">
        <v>487</v>
      </c>
      <c r="D100" s="4" t="s">
        <v>488</v>
      </c>
      <c r="E100" s="8" t="n">
        <f aca="false">LEN(D100)</f>
        <v>35</v>
      </c>
      <c r="F100" s="4" t="s">
        <v>489</v>
      </c>
      <c r="G100" s="8" t="n">
        <f aca="false">LEN(F100)</f>
        <v>50</v>
      </c>
      <c r="H100" s="4" t="s">
        <v>278</v>
      </c>
      <c r="I100" s="4" t="s">
        <v>99</v>
      </c>
      <c r="J100" s="4" t="s">
        <v>490</v>
      </c>
      <c r="K100" s="4"/>
      <c r="L100" s="4"/>
      <c r="M100" s="4" t="s">
        <v>78</v>
      </c>
      <c r="N100" s="4" t="s">
        <v>66</v>
      </c>
      <c r="O100" s="4" t="s">
        <v>491</v>
      </c>
    </row>
    <row r="101" customFormat="false" ht="23.85" hidden="false" customHeight="false" outlineLevel="0" collapsed="false">
      <c r="A101" s="4" t="n">
        <v>25041</v>
      </c>
      <c r="B101" s="4" t="s">
        <v>58</v>
      </c>
      <c r="C101" s="4" t="s">
        <v>492</v>
      </c>
      <c r="D101" s="4" t="s">
        <v>493</v>
      </c>
      <c r="E101" s="8" t="n">
        <f aca="false">LEN(D101)</f>
        <v>22</v>
      </c>
      <c r="F101" s="4" t="s">
        <v>494</v>
      </c>
      <c r="G101" s="8" t="n">
        <f aca="false">LEN(F101)</f>
        <v>37</v>
      </c>
      <c r="H101" s="4" t="s">
        <v>87</v>
      </c>
      <c r="I101" s="4" t="s">
        <v>121</v>
      </c>
      <c r="J101" s="4"/>
      <c r="K101" s="4"/>
      <c r="L101" s="4"/>
      <c r="M101" s="4" t="s">
        <v>78</v>
      </c>
      <c r="N101" s="4" t="s">
        <v>66</v>
      </c>
      <c r="O101" s="4" t="s">
        <v>123</v>
      </c>
    </row>
    <row r="102" customFormat="false" ht="23.85" hidden="false" customHeight="false" outlineLevel="0" collapsed="false">
      <c r="A102" s="4" t="n">
        <v>25175</v>
      </c>
      <c r="B102" s="4" t="s">
        <v>101</v>
      </c>
      <c r="C102" s="4" t="s">
        <v>495</v>
      </c>
      <c r="D102" s="4" t="s">
        <v>496</v>
      </c>
      <c r="E102" s="8" t="n">
        <f aca="false">LEN(D102)</f>
        <v>35</v>
      </c>
      <c r="F102" s="4" t="s">
        <v>497</v>
      </c>
      <c r="G102" s="8" t="n">
        <f aca="false">LEN(F102)</f>
        <v>50</v>
      </c>
      <c r="H102" s="4" t="s">
        <v>75</v>
      </c>
      <c r="I102" s="4" t="s">
        <v>498</v>
      </c>
      <c r="J102" s="4"/>
      <c r="K102" s="4"/>
      <c r="L102" s="4" t="s">
        <v>89</v>
      </c>
      <c r="M102" s="4" t="s">
        <v>107</v>
      </c>
      <c r="N102" s="4" t="s">
        <v>66</v>
      </c>
      <c r="O102" s="4" t="s">
        <v>123</v>
      </c>
    </row>
    <row r="103" customFormat="false" ht="23.85" hidden="false" customHeight="false" outlineLevel="0" collapsed="false">
      <c r="A103" s="4" t="n">
        <v>25430</v>
      </c>
      <c r="B103" s="4" t="s">
        <v>101</v>
      </c>
      <c r="C103" s="4" t="s">
        <v>499</v>
      </c>
      <c r="D103" s="4" t="s">
        <v>500</v>
      </c>
      <c r="E103" s="8" t="n">
        <f aca="false">LEN(D103)</f>
        <v>39</v>
      </c>
      <c r="F103" s="4" t="s">
        <v>501</v>
      </c>
      <c r="G103" s="8" t="n">
        <f aca="false">LEN(F103)</f>
        <v>54</v>
      </c>
      <c r="H103" s="4" t="s">
        <v>278</v>
      </c>
      <c r="I103" s="4" t="s">
        <v>502</v>
      </c>
      <c r="J103" s="4" t="s">
        <v>503</v>
      </c>
      <c r="K103" s="4"/>
      <c r="L103" s="4" t="s">
        <v>300</v>
      </c>
      <c r="M103" s="4" t="s">
        <v>504</v>
      </c>
      <c r="N103" s="4" t="s">
        <v>66</v>
      </c>
      <c r="O103" s="4" t="s">
        <v>505</v>
      </c>
    </row>
    <row r="104" customFormat="false" ht="23.85" hidden="false" customHeight="false" outlineLevel="0" collapsed="false">
      <c r="A104" s="4" t="n">
        <v>25535</v>
      </c>
      <c r="B104" s="4" t="s">
        <v>58</v>
      </c>
      <c r="C104" s="4" t="s">
        <v>506</v>
      </c>
      <c r="D104" s="4" t="s">
        <v>507</v>
      </c>
      <c r="E104" s="8" t="n">
        <f aca="false">LEN(D104)</f>
        <v>33</v>
      </c>
      <c r="F104" s="4" t="s">
        <v>508</v>
      </c>
      <c r="G104" s="8" t="n">
        <f aca="false">LEN(F104)</f>
        <v>48</v>
      </c>
      <c r="H104" s="4" t="s">
        <v>105</v>
      </c>
      <c r="I104" s="4" t="s">
        <v>509</v>
      </c>
      <c r="J104" s="4"/>
      <c r="K104" s="4"/>
      <c r="L104" s="4"/>
      <c r="M104" s="4" t="s">
        <v>78</v>
      </c>
      <c r="N104" s="4" t="s">
        <v>66</v>
      </c>
      <c r="O104" s="4" t="s">
        <v>345</v>
      </c>
    </row>
    <row r="105" customFormat="false" ht="23.85" hidden="false" customHeight="false" outlineLevel="0" collapsed="false">
      <c r="A105" s="4" t="n">
        <v>25611</v>
      </c>
      <c r="B105" s="4" t="s">
        <v>58</v>
      </c>
      <c r="C105" s="4" t="s">
        <v>510</v>
      </c>
      <c r="D105" s="4" t="s">
        <v>511</v>
      </c>
      <c r="E105" s="8" t="n">
        <f aca="false">LEN(D105)</f>
        <v>46</v>
      </c>
      <c r="F105" s="4" t="s">
        <v>511</v>
      </c>
      <c r="G105" s="8" t="n">
        <f aca="false">LEN(F105)</f>
        <v>46</v>
      </c>
      <c r="H105" s="4" t="s">
        <v>120</v>
      </c>
      <c r="I105" s="4" t="s">
        <v>512</v>
      </c>
      <c r="J105" s="4"/>
      <c r="K105" s="4"/>
      <c r="L105" s="4"/>
      <c r="M105" s="4" t="s">
        <v>78</v>
      </c>
      <c r="N105" s="4" t="s">
        <v>66</v>
      </c>
      <c r="O105" s="4" t="s">
        <v>123</v>
      </c>
    </row>
    <row r="106" customFormat="false" ht="15" hidden="false" customHeight="false" outlineLevel="0" collapsed="false">
      <c r="A106" s="4" t="n">
        <v>25678</v>
      </c>
      <c r="B106" s="4" t="s">
        <v>101</v>
      </c>
      <c r="C106" s="4" t="s">
        <v>513</v>
      </c>
      <c r="D106" s="4" t="s">
        <v>514</v>
      </c>
      <c r="E106" s="8" t="n">
        <f aca="false">LEN(D106)</f>
        <v>32</v>
      </c>
      <c r="F106" s="4" t="s">
        <v>515</v>
      </c>
      <c r="G106" s="8" t="n">
        <f aca="false">LEN(F106)</f>
        <v>47</v>
      </c>
      <c r="H106" s="4" t="s">
        <v>75</v>
      </c>
      <c r="I106" s="4" t="s">
        <v>181</v>
      </c>
      <c r="J106" s="4"/>
      <c r="K106" s="4"/>
      <c r="L106" s="4"/>
      <c r="M106" s="4" t="s">
        <v>107</v>
      </c>
      <c r="N106" s="4" t="s">
        <v>66</v>
      </c>
      <c r="O106" s="4" t="s">
        <v>270</v>
      </c>
    </row>
  </sheetData>
  <autoFilter ref="A1:O106"/>
  <conditionalFormatting sqref="G2:G106">
    <cfRule type="cellIs" priority="2" operator="greaterThan" aboveAverage="0" equalAverage="0" bottom="0" percent="0" rank="0" text="" dxfId="3">
      <formula>60</formula>
    </cfRule>
  </conditionalFormatting>
  <conditionalFormatting sqref="E2:E106">
    <cfRule type="cellIs" priority="3" operator="greaterThan" aboveAverage="0" equalAverage="0" bottom="0" percent="0" rank="0" text="" dxfId="3">
      <formula>70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80"/>
  </cols>
  <sheetData>
    <row r="1" customFormat="false" ht="15" hidden="false" customHeight="false" outlineLevel="0" collapsed="false">
      <c r="A1" s="3" t="s">
        <v>516</v>
      </c>
      <c r="B1" s="3" t="s">
        <v>517</v>
      </c>
      <c r="C1" s="3" t="s">
        <v>518</v>
      </c>
    </row>
    <row r="2" customFormat="false" ht="15" hidden="false" customHeight="false" outlineLevel="0" collapsed="false">
      <c r="A2" s="9" t="s">
        <v>45</v>
      </c>
      <c r="B2" s="4" t="s">
        <v>510</v>
      </c>
      <c r="C2" s="4" t="s">
        <v>108</v>
      </c>
    </row>
    <row r="3" customFormat="false" ht="15" hidden="false" customHeight="false" outlineLevel="0" collapsed="false">
      <c r="A3" s="9" t="s">
        <v>519</v>
      </c>
      <c r="B3" s="4" t="s">
        <v>511</v>
      </c>
      <c r="C3" s="4" t="s">
        <v>109</v>
      </c>
    </row>
    <row r="4" customFormat="false" ht="94.5" hidden="false" customHeight="true" outlineLevel="0" collapsed="false">
      <c r="A4" s="9" t="s">
        <v>520</v>
      </c>
      <c r="B4" s="4" t="s">
        <v>521</v>
      </c>
      <c r="C4" s="4" t="s">
        <v>522</v>
      </c>
    </row>
    <row r="5" customFormat="false" ht="15" hidden="false" customHeight="false" outlineLevel="0" collapsed="false">
      <c r="A5" s="9" t="s">
        <v>523</v>
      </c>
      <c r="B5" s="4" t="s">
        <v>511</v>
      </c>
      <c r="C5" s="4" t="s">
        <v>524</v>
      </c>
    </row>
    <row r="6" customFormat="false" ht="94.5" hidden="false" customHeight="true" outlineLevel="0" collapsed="false">
      <c r="A6" s="9" t="s">
        <v>525</v>
      </c>
      <c r="B6" s="4" t="s">
        <v>526</v>
      </c>
      <c r="C6" s="4" t="s">
        <v>527</v>
      </c>
    </row>
    <row r="7" customFormat="false" ht="15" hidden="false" customHeight="false" outlineLevel="0" collapsed="false">
      <c r="A7" s="9" t="s">
        <v>528</v>
      </c>
      <c r="B7" s="4" t="s">
        <v>529</v>
      </c>
      <c r="C7" s="4" t="s">
        <v>530</v>
      </c>
    </row>
    <row r="8" customFormat="false" ht="15" hidden="false" customHeight="false" outlineLevel="0" collapsed="false">
      <c r="A8" s="9" t="s">
        <v>531</v>
      </c>
      <c r="B8" s="4" t="s">
        <v>532</v>
      </c>
      <c r="C8" s="4" t="s">
        <v>533</v>
      </c>
    </row>
    <row r="9" customFormat="false" ht="330" hidden="false" customHeight="true" outlineLevel="0" collapsed="false">
      <c r="A9" s="9" t="s">
        <v>534</v>
      </c>
      <c r="B9" s="4" t="s">
        <v>535</v>
      </c>
      <c r="C9" s="4" t="s">
        <v>536</v>
      </c>
    </row>
    <row r="10" customFormat="false" ht="94.5" hidden="false" customHeight="true" outlineLevel="0" collapsed="false">
      <c r="A10" s="9" t="s">
        <v>537</v>
      </c>
      <c r="B10" s="4" t="s">
        <v>538</v>
      </c>
      <c r="C10" s="4" t="s">
        <v>539</v>
      </c>
    </row>
    <row r="11" customFormat="false" ht="94.5" hidden="false" customHeight="true" outlineLevel="0" collapsed="false">
      <c r="A11" s="9" t="s">
        <v>540</v>
      </c>
      <c r="B11" s="4" t="s">
        <v>541</v>
      </c>
      <c r="C11" s="4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2026-10-03T19:14:57Z</dcterms:created>
  <dc:creator>openpyxl</dc:creator>
  <dc:description/>
  <dc:language>en-US</dc:language>
  <cp:lastModifiedBy/>
  <dcterms:modified xsi:type="dcterms:W3CDTF">2026-10-03T19:14:57Z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